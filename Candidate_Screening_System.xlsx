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E:\AtomCamp\0. luke youtube\Excel\My Excel Learning and Portfolio\2\"/>
    </mc:Choice>
  </mc:AlternateContent>
  <xr:revisionPtr revIDLastSave="0" documentId="13_ncr:1_{2016985E-424B-433A-AD6E-C96AA89418B4}" xr6:coauthVersionLast="47" xr6:coauthVersionMax="47" xr10:uidLastSave="{00000000-0000-0000-0000-000000000000}"/>
  <bookViews>
    <workbookView xWindow="-120" yWindow="-120" windowWidth="20730" windowHeight="11160" firstSheet="3" activeTab="5" xr2:uid="{00000000-000D-0000-FFFF-FFFF00000000}"/>
  </bookViews>
  <sheets>
    <sheet name="updated_25_candidates_dataset" sheetId="2" r:id="rId1"/>
    <sheet name="Summary_Analysis" sheetId="3" r:id="rId2"/>
    <sheet name="Shortlisted vs Not_Shortlisted" sheetId="4" r:id="rId3"/>
    <sheet name="Applied_Role_VS_Final_Shortlist" sheetId="5" r:id="rId4"/>
    <sheet name="Avg_Salary_vs_Shortlist" sheetId="7" r:id="rId5"/>
    <sheet name="Sheet8" sheetId="8" r:id="rId6"/>
  </sheets>
  <calcPr calcId="191029"/>
  <pivotCaches>
    <pivotCache cacheId="22"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2" i="2" l="1"/>
  <c r="C34" i="2"/>
  <c r="C33" i="2"/>
  <c r="C31" i="2"/>
  <c r="C30" i="2"/>
  <c r="C29" i="2"/>
  <c r="Q3" i="2"/>
  <c r="Q4" i="2"/>
  <c r="Q5" i="2"/>
  <c r="Q6" i="2"/>
  <c r="Q7" i="2"/>
  <c r="Q8" i="2"/>
  <c r="Q9" i="2"/>
  <c r="Q10" i="2"/>
  <c r="Q11" i="2"/>
  <c r="Q12" i="2"/>
  <c r="Q13" i="2"/>
  <c r="Q14" i="2"/>
  <c r="Q15" i="2"/>
  <c r="Q16" i="2"/>
  <c r="Q17" i="2"/>
  <c r="Q18" i="2"/>
  <c r="Q19" i="2"/>
  <c r="Q20" i="2"/>
  <c r="Q21" i="2"/>
  <c r="Q22" i="2"/>
  <c r="Q23" i="2"/>
  <c r="Q24" i="2"/>
  <c r="Q25" i="2"/>
  <c r="Q26" i="2"/>
  <c r="Q2" i="2"/>
  <c r="P3" i="2"/>
  <c r="P4" i="2"/>
  <c r="P5" i="2"/>
  <c r="P6" i="2"/>
  <c r="P7" i="2"/>
  <c r="P8" i="2"/>
  <c r="P9" i="2"/>
  <c r="P10" i="2"/>
  <c r="P11" i="2"/>
  <c r="P12" i="2"/>
  <c r="P13" i="2"/>
  <c r="P14" i="2"/>
  <c r="P15" i="2"/>
  <c r="P16" i="2"/>
  <c r="P17" i="2"/>
  <c r="P18" i="2"/>
  <c r="P19" i="2"/>
  <c r="P20" i="2"/>
  <c r="P21" i="2"/>
  <c r="P22" i="2"/>
  <c r="P23" i="2"/>
  <c r="P24" i="2"/>
  <c r="P25" i="2"/>
  <c r="P26" i="2"/>
  <c r="P2" i="2"/>
  <c r="O3" i="2" l="1"/>
  <c r="O4" i="2"/>
  <c r="O5" i="2"/>
  <c r="O6" i="2"/>
  <c r="O7" i="2"/>
  <c r="O8" i="2"/>
  <c r="O9" i="2"/>
  <c r="O10" i="2"/>
  <c r="O11" i="2"/>
  <c r="O12" i="2"/>
  <c r="O13" i="2"/>
  <c r="O14" i="2"/>
  <c r="O15" i="2"/>
  <c r="O16" i="2"/>
  <c r="O17" i="2"/>
  <c r="O18" i="2"/>
  <c r="O19" i="2"/>
  <c r="O20" i="2"/>
  <c r="O21" i="2"/>
  <c r="O22" i="2"/>
  <c r="O23" i="2"/>
  <c r="O24" i="2"/>
  <c r="O25" i="2"/>
  <c r="O26" i="2"/>
  <c r="O2" i="2"/>
  <c r="N3" i="2"/>
  <c r="N4" i="2"/>
  <c r="N5" i="2"/>
  <c r="N6" i="2"/>
  <c r="N7" i="2"/>
  <c r="N8" i="2"/>
  <c r="N9" i="2"/>
  <c r="N10" i="2"/>
  <c r="N11" i="2"/>
  <c r="N12" i="2"/>
  <c r="N13" i="2"/>
  <c r="N14" i="2"/>
  <c r="N15" i="2"/>
  <c r="N16" i="2"/>
  <c r="N17" i="2"/>
  <c r="N18" i="2"/>
  <c r="N19" i="2"/>
  <c r="N20" i="2"/>
  <c r="N21" i="2"/>
  <c r="N22" i="2"/>
  <c r="N23" i="2"/>
  <c r="N24" i="2"/>
  <c r="N25" i="2"/>
  <c r="N26" i="2"/>
  <c r="N2" i="2"/>
  <c r="M3" i="2"/>
  <c r="M4" i="2"/>
  <c r="M5" i="2"/>
  <c r="M6" i="2"/>
  <c r="M7" i="2"/>
  <c r="M8" i="2"/>
  <c r="M9" i="2"/>
  <c r="M10" i="2"/>
  <c r="M11" i="2"/>
  <c r="M12" i="2"/>
  <c r="M13" i="2"/>
  <c r="M14" i="2"/>
  <c r="M15" i="2"/>
  <c r="M16" i="2"/>
  <c r="M17" i="2"/>
  <c r="M18" i="2"/>
  <c r="M19" i="2"/>
  <c r="M20" i="2"/>
  <c r="M21" i="2"/>
  <c r="M22" i="2"/>
  <c r="M23" i="2"/>
  <c r="M24" i="2"/>
  <c r="M25" i="2"/>
  <c r="M26" i="2"/>
  <c r="M2" i="2"/>
  <c r="L3" i="2"/>
  <c r="L4" i="2"/>
  <c r="L5" i="2"/>
  <c r="L6" i="2"/>
  <c r="L7" i="2"/>
  <c r="L8" i="2"/>
  <c r="L9" i="2"/>
  <c r="L10" i="2"/>
  <c r="L11" i="2"/>
  <c r="L12" i="2"/>
  <c r="L13" i="2"/>
  <c r="L14" i="2"/>
  <c r="L15" i="2"/>
  <c r="L16" i="2"/>
  <c r="L17" i="2"/>
  <c r="L18" i="2"/>
  <c r="L19" i="2"/>
  <c r="L20" i="2"/>
  <c r="L21" i="2"/>
  <c r="L22" i="2"/>
  <c r="L23" i="2"/>
  <c r="L24" i="2"/>
  <c r="L25" i="2"/>
  <c r="L26" i="2"/>
  <c r="L2" i="2"/>
</calcChain>
</file>

<file path=xl/sharedStrings.xml><?xml version="1.0" encoding="utf-8"?>
<sst xmlns="http://schemas.openxmlformats.org/spreadsheetml/2006/main" count="232" uniqueCount="102">
  <si>
    <t>Candidate Name</t>
  </si>
  <si>
    <t>Gender</t>
  </si>
  <si>
    <t>John Miller</t>
  </si>
  <si>
    <t>Female</t>
  </si>
  <si>
    <t>Data Analyst</t>
  </si>
  <si>
    <t>New York</t>
  </si>
  <si>
    <t>Emma Thompson</t>
  </si>
  <si>
    <t>London</t>
  </si>
  <si>
    <t>Liam Carter</t>
  </si>
  <si>
    <t>Male</t>
  </si>
  <si>
    <t>Business Analyst</t>
  </si>
  <si>
    <t>Berlin</t>
  </si>
  <si>
    <t>Olivia Brooks</t>
  </si>
  <si>
    <t>Ops Coordinator</t>
  </si>
  <si>
    <t>Oslo</t>
  </si>
  <si>
    <t>Noah Jensen</t>
  </si>
  <si>
    <t>Dublin</t>
  </si>
  <si>
    <t>Ava Schultz</t>
  </si>
  <si>
    <t>Ethan Romano</t>
  </si>
  <si>
    <t>Sophia Keller</t>
  </si>
  <si>
    <t>Mason Fischer</t>
  </si>
  <si>
    <t>Paris</t>
  </si>
  <si>
    <t>Isabella Novak</t>
  </si>
  <si>
    <t>Lucas Marino</t>
  </si>
  <si>
    <t>Mia Laurent</t>
  </si>
  <si>
    <t>Henry Adams</t>
  </si>
  <si>
    <t>Ella Johansson</t>
  </si>
  <si>
    <t>Marketing Analyst</t>
  </si>
  <si>
    <t>James Becker</t>
  </si>
  <si>
    <t>Chloe Martin</t>
  </si>
  <si>
    <t>Michael Steiner</t>
  </si>
  <si>
    <t>Grace Turner</t>
  </si>
  <si>
    <t>Benjamin Rossi</t>
  </si>
  <si>
    <t>Hannah Meyer</t>
  </si>
  <si>
    <t>Daniel Weber</t>
  </si>
  <si>
    <t>Lily Crawford</t>
  </si>
  <si>
    <t>Alexander Hayes</t>
  </si>
  <si>
    <t>Zoe Schmidt</t>
  </si>
  <si>
    <t>Samuel Ford</t>
  </si>
  <si>
    <t>Candidate_ID</t>
  </si>
  <si>
    <t>C0001</t>
  </si>
  <si>
    <t>C0002</t>
  </si>
  <si>
    <t>C0003</t>
  </si>
  <si>
    <t>C0004</t>
  </si>
  <si>
    <t>C0005</t>
  </si>
  <si>
    <t>C0006</t>
  </si>
  <si>
    <t>C0007</t>
  </si>
  <si>
    <t>C0008</t>
  </si>
  <si>
    <t>C0009</t>
  </si>
  <si>
    <t>C0010</t>
  </si>
  <si>
    <t>C0011</t>
  </si>
  <si>
    <t>C0012</t>
  </si>
  <si>
    <t>C0013</t>
  </si>
  <si>
    <t>C0014</t>
  </si>
  <si>
    <t>C0015</t>
  </si>
  <si>
    <t>C0016</t>
  </si>
  <si>
    <t>C0017</t>
  </si>
  <si>
    <t>C0018</t>
  </si>
  <si>
    <t>C0019</t>
  </si>
  <si>
    <t>C0020</t>
  </si>
  <si>
    <t>C0021</t>
  </si>
  <si>
    <t>C0022</t>
  </si>
  <si>
    <t>C0023</t>
  </si>
  <si>
    <t>C0024</t>
  </si>
  <si>
    <t>C0025</t>
  </si>
  <si>
    <t>Applied_Role</t>
  </si>
  <si>
    <t>Excel_Experience (Years)</t>
  </si>
  <si>
    <t>SQL_Experience (Years)</t>
  </si>
  <si>
    <t>Python_Experience (Years)</t>
  </si>
  <si>
    <t>Expected_Salary ($)</t>
  </si>
  <si>
    <t>Recruiter_Score</t>
  </si>
  <si>
    <t>Candidate_City</t>
  </si>
  <si>
    <t>Availability</t>
  </si>
  <si>
    <t>Meets_Excel_Requirement</t>
  </si>
  <si>
    <t>Immediate</t>
  </si>
  <si>
    <t>30 Days</t>
  </si>
  <si>
    <t>60 Days</t>
  </si>
  <si>
    <t>Meets_SQL_Requirement</t>
  </si>
  <si>
    <t>Meets_Python_Requirement</t>
  </si>
  <si>
    <t>Meets_All_Requirements</t>
  </si>
  <si>
    <t>Salary_Within_Budget</t>
  </si>
  <si>
    <t>Final_Shortlisted</t>
  </si>
  <si>
    <t>Summary_Analysis</t>
  </si>
  <si>
    <t>Total_Candidates</t>
  </si>
  <si>
    <t>Total_Shortlisted</t>
  </si>
  <si>
    <t>Total_Not_Shortlisted</t>
  </si>
  <si>
    <t>Average_Expected_Salary</t>
  </si>
  <si>
    <t>Average_Salary_of_Shortlisted</t>
  </si>
  <si>
    <t>Average_Recruiter_Score_of_Shortlisted</t>
  </si>
  <si>
    <t>FALSE</t>
  </si>
  <si>
    <t>TRUE</t>
  </si>
  <si>
    <t>Status</t>
  </si>
  <si>
    <t>Count</t>
  </si>
  <si>
    <t>Row Labels</t>
  </si>
  <si>
    <t>Grand Total</t>
  </si>
  <si>
    <t>Count of Candidate_ID</t>
  </si>
  <si>
    <t>Column Labels</t>
  </si>
  <si>
    <t>Sum of Excel_Experience (Years)</t>
  </si>
  <si>
    <t>Sum of SQL_Experience (Years)</t>
  </si>
  <si>
    <t>Sum of Python_Experience (Years)</t>
  </si>
  <si>
    <t>Applied_Role_VS_Final_Shortlisted</t>
  </si>
  <si>
    <t>Average of Expected_Salary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</si>
</sst>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4">
    <fill>
      <patternFill patternType="none"/>
    </fill>
    <fill>
      <patternFill patternType="gray125"/>
    </fill>
    <fill>
      <patternFill patternType="solid">
        <fgColor theme="5" tint="0.59999389629810485"/>
        <bgColor indexed="64"/>
      </patternFill>
    </fill>
    <fill>
      <patternFill patternType="solid">
        <fgColor theme="9"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12">
    <xf numFmtId="0" fontId="0" fillId="0" borderId="0" xfId="0"/>
    <xf numFmtId="0" fontId="1" fillId="0" borderId="0" xfId="0" applyFont="1"/>
    <xf numFmtId="0" fontId="0" fillId="0" borderId="1" xfId="0" applyBorder="1"/>
    <xf numFmtId="0" fontId="1" fillId="2" borderId="1" xfId="0" applyFont="1" applyFill="1" applyBorder="1" applyAlignment="1">
      <alignment wrapText="1"/>
    </xf>
    <xf numFmtId="0" fontId="1" fillId="2" borderId="1" xfId="0" applyFont="1" applyFill="1" applyBorder="1" applyAlignment="1"/>
    <xf numFmtId="0" fontId="1" fillId="2" borderId="2" xfId="0" applyFont="1" applyFill="1" applyBorder="1" applyAlignment="1">
      <alignment wrapText="1"/>
    </xf>
    <xf numFmtId="0" fontId="1" fillId="3" borderId="1" xfId="0" applyFont="1" applyFill="1" applyBorder="1" applyAlignment="1">
      <alignment wrapText="1"/>
    </xf>
    <xf numFmtId="0" fontId="1" fillId="0" borderId="0" xfId="0" applyFont="1" applyAlignment="1">
      <alignment horizontal="center"/>
    </xf>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Shortlisted vs Not_Shortlisted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lotArea>
      <c:layout/>
      <c:pie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'Shortlisted vs Not_Shortlisted'!$A$2:$A$3</c:f>
              <c:strCache>
                <c:ptCount val="2"/>
                <c:pt idx="0">
                  <c:v>Total_Candidates</c:v>
                </c:pt>
                <c:pt idx="1">
                  <c:v>Total_Shortlisted</c:v>
                </c:pt>
              </c:strCache>
            </c:strRef>
          </c:cat>
          <c:val>
            <c:numRef>
              <c:f>'Shortlisted vs Not_Shortlisted'!$B$2:$B$3</c:f>
              <c:numCache>
                <c:formatCode>General</c:formatCode>
                <c:ptCount val="2"/>
                <c:pt idx="0">
                  <c:v>25</c:v>
                </c:pt>
                <c:pt idx="1">
                  <c:v>4</c:v>
                </c:pt>
              </c:numCache>
            </c:numRef>
          </c:val>
          <c:extLst>
            <c:ext xmlns:c16="http://schemas.microsoft.com/office/drawing/2014/chart" uri="{C3380CC4-5D6E-409C-BE32-E72D297353CC}">
              <c16:uniqueId val="{00000000-C2C3-4FEC-A0D0-6D86C1A42187}"/>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[Candidate_Screening_System.xlsx]Applied_Role_VS_Final_Shortlist!PivotTable5</c:name>
    <c:fmtId val="3"/>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Applied_Role_VS_Final_Shortlist!$B$3:$B$4</c:f>
              <c:strCache>
                <c:ptCount val="1"/>
                <c:pt idx="0">
                  <c:v>FALSE</c:v>
                </c:pt>
              </c:strCache>
            </c:strRef>
          </c:tx>
          <c:spPr>
            <a:solidFill>
              <a:schemeClr val="accent2">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Applied_Role_VS_Final_Shortlist!$A$5:$A$9</c:f>
              <c:strCache>
                <c:ptCount val="4"/>
                <c:pt idx="0">
                  <c:v>Business Analyst</c:v>
                </c:pt>
                <c:pt idx="1">
                  <c:v>Data Analyst</c:v>
                </c:pt>
                <c:pt idx="2">
                  <c:v>Marketing Analyst</c:v>
                </c:pt>
                <c:pt idx="3">
                  <c:v>Ops Coordinator</c:v>
                </c:pt>
              </c:strCache>
            </c:strRef>
          </c:cat>
          <c:val>
            <c:numRef>
              <c:f>Applied_Role_VS_Final_Shortlist!$B$5:$B$9</c:f>
              <c:numCache>
                <c:formatCode>General</c:formatCode>
                <c:ptCount val="4"/>
                <c:pt idx="0">
                  <c:v>5</c:v>
                </c:pt>
                <c:pt idx="1">
                  <c:v>6</c:v>
                </c:pt>
                <c:pt idx="2">
                  <c:v>4</c:v>
                </c:pt>
                <c:pt idx="3">
                  <c:v>6</c:v>
                </c:pt>
              </c:numCache>
            </c:numRef>
          </c:val>
          <c:extLst>
            <c:ext xmlns:c16="http://schemas.microsoft.com/office/drawing/2014/chart" uri="{C3380CC4-5D6E-409C-BE32-E72D297353CC}">
              <c16:uniqueId val="{00000000-9F43-4889-B6F3-882ED131F184}"/>
            </c:ext>
          </c:extLst>
        </c:ser>
        <c:ser>
          <c:idx val="1"/>
          <c:order val="1"/>
          <c:tx>
            <c:strRef>
              <c:f>Applied_Role_VS_Final_Shortlist!$C$3:$C$4</c:f>
              <c:strCache>
                <c:ptCount val="1"/>
                <c:pt idx="0">
                  <c:v>TRUE</c:v>
                </c:pt>
              </c:strCache>
            </c:strRef>
          </c:tx>
          <c:spPr>
            <a:solidFill>
              <a:schemeClr val="accent2">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Applied_Role_VS_Final_Shortlist!$A$5:$A$9</c:f>
              <c:strCache>
                <c:ptCount val="4"/>
                <c:pt idx="0">
                  <c:v>Business Analyst</c:v>
                </c:pt>
                <c:pt idx="1">
                  <c:v>Data Analyst</c:v>
                </c:pt>
                <c:pt idx="2">
                  <c:v>Marketing Analyst</c:v>
                </c:pt>
                <c:pt idx="3">
                  <c:v>Ops Coordinator</c:v>
                </c:pt>
              </c:strCache>
            </c:strRef>
          </c:cat>
          <c:val>
            <c:numRef>
              <c:f>Applied_Role_VS_Final_Shortlist!$C$5:$C$9</c:f>
              <c:numCache>
                <c:formatCode>General</c:formatCode>
                <c:ptCount val="4"/>
                <c:pt idx="0">
                  <c:v>2</c:v>
                </c:pt>
                <c:pt idx="2">
                  <c:v>1</c:v>
                </c:pt>
                <c:pt idx="3">
                  <c:v>1</c:v>
                </c:pt>
              </c:numCache>
            </c:numRef>
          </c:val>
          <c:extLst>
            <c:ext xmlns:c16="http://schemas.microsoft.com/office/drawing/2014/chart" uri="{C3380CC4-5D6E-409C-BE32-E72D297353CC}">
              <c16:uniqueId val="{00000001-9F43-4889-B6F3-882ED131F184}"/>
            </c:ext>
          </c:extLst>
        </c:ser>
        <c:dLbls>
          <c:dLblPos val="inBase"/>
          <c:showLegendKey val="0"/>
          <c:showVal val="1"/>
          <c:showCatName val="0"/>
          <c:showSerName val="0"/>
          <c:showPercent val="0"/>
          <c:showBubbleSize val="0"/>
        </c:dLbls>
        <c:gapWidth val="219"/>
        <c:overlap val="-27"/>
        <c:axId val="906578367"/>
        <c:axId val="906583647"/>
      </c:barChart>
      <c:catAx>
        <c:axId val="906578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906583647"/>
        <c:crosses val="autoZero"/>
        <c:auto val="1"/>
        <c:lblAlgn val="ctr"/>
        <c:lblOffset val="100"/>
        <c:noMultiLvlLbl val="0"/>
      </c:catAx>
      <c:valAx>
        <c:axId val="906583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906578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[Candidate_Screening_System.xlsx]Avg_Salary_vs_Shortlist!PivotTable8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Average_Expected_Salary by Shortlist_Status</a:t>
            </a:r>
          </a:p>
        </c:rich>
      </c:tx>
      <c:layout>
        <c:manualLayout>
          <c:xMode val="edge"/>
          <c:yMode val="edge"/>
          <c:x val="0.15311111111111111"/>
          <c:y val="9.15718868474773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2"/>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PK"/>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Avg_Salary_vs_Shortlist!$B$3</c:f>
              <c:strCache>
                <c:ptCount val="1"/>
                <c:pt idx="0">
                  <c:v>Total</c:v>
                </c:pt>
              </c:strCache>
            </c:strRef>
          </c:tx>
          <c:spPr>
            <a:solidFill>
              <a:schemeClr val="accent2"/>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PK"/>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Avg_Salary_vs_Shortlist!$A$4:$A$6</c:f>
              <c:strCache>
                <c:ptCount val="2"/>
                <c:pt idx="0">
                  <c:v>FALSE</c:v>
                </c:pt>
                <c:pt idx="1">
                  <c:v>TRUE</c:v>
                </c:pt>
              </c:strCache>
            </c:strRef>
          </c:cat>
          <c:val>
            <c:numRef>
              <c:f>Avg_Salary_vs_Shortlist!$B$4:$B$6</c:f>
              <c:numCache>
                <c:formatCode>General</c:formatCode>
                <c:ptCount val="2"/>
                <c:pt idx="0">
                  <c:v>54285.714285714283</c:v>
                </c:pt>
                <c:pt idx="1">
                  <c:v>50000</c:v>
                </c:pt>
              </c:numCache>
            </c:numRef>
          </c:val>
          <c:extLst>
            <c:ext xmlns:c16="http://schemas.microsoft.com/office/drawing/2014/chart" uri="{C3380CC4-5D6E-409C-BE32-E72D297353CC}">
              <c16:uniqueId val="{00000000-61D8-483D-8E9F-7529D439E3C2}"/>
            </c:ext>
          </c:extLst>
        </c:ser>
        <c:dLbls>
          <c:showLegendKey val="0"/>
          <c:showVal val="0"/>
          <c:showCatName val="0"/>
          <c:showSerName val="0"/>
          <c:showPercent val="0"/>
          <c:showBubbleSize val="0"/>
        </c:dLbls>
        <c:gapWidth val="219"/>
        <c:overlap val="-27"/>
        <c:axId val="906600927"/>
        <c:axId val="906591327"/>
      </c:barChart>
      <c:catAx>
        <c:axId val="906600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906591327"/>
        <c:crosses val="autoZero"/>
        <c:auto val="1"/>
        <c:lblAlgn val="ctr"/>
        <c:lblOffset val="100"/>
        <c:noMultiLvlLbl val="0"/>
      </c:catAx>
      <c:valAx>
        <c:axId val="906591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906600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2">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5</xdr:col>
      <xdr:colOff>333375</xdr:colOff>
      <xdr:row>1</xdr:row>
      <xdr:rowOff>185737</xdr:rowOff>
    </xdr:from>
    <xdr:to>
      <xdr:col>13</xdr:col>
      <xdr:colOff>28575</xdr:colOff>
      <xdr:row>16</xdr:row>
      <xdr:rowOff>71437</xdr:rowOff>
    </xdr:to>
    <xdr:graphicFrame macro="">
      <xdr:nvGraphicFramePr>
        <xdr:cNvPr id="2" name="Chart 1">
          <a:extLst>
            <a:ext uri="{FF2B5EF4-FFF2-40B4-BE49-F238E27FC236}">
              <a16:creationId xmlns:a16="http://schemas.microsoft.com/office/drawing/2014/main" id="{228BE235-6593-0A65-263B-42F300E437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66675</xdr:colOff>
      <xdr:row>7</xdr:row>
      <xdr:rowOff>85725</xdr:rowOff>
    </xdr:from>
    <xdr:to>
      <xdr:col>4</xdr:col>
      <xdr:colOff>523875</xdr:colOff>
      <xdr:row>16</xdr:row>
      <xdr:rowOff>9524</xdr:rowOff>
    </xdr:to>
    <xdr:sp macro="" textlink="">
      <xdr:nvSpPr>
        <xdr:cNvPr id="3" name="TextBox 2">
          <a:extLst>
            <a:ext uri="{FF2B5EF4-FFF2-40B4-BE49-F238E27FC236}">
              <a16:creationId xmlns:a16="http://schemas.microsoft.com/office/drawing/2014/main" id="{3B2EFCB2-2F5F-6C70-06B2-5288E11210CC}"/>
            </a:ext>
          </a:extLst>
        </xdr:cNvPr>
        <xdr:cNvSpPr txBox="1"/>
      </xdr:nvSpPr>
      <xdr:spPr>
        <a:xfrm>
          <a:off x="66675" y="1419225"/>
          <a:ext cx="3533775" cy="16382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t>Out of 25 candidates, only 4 (16%) are fully shortlisted, and 21 (84%) do not meet all requirements or exceed budget.</a:t>
          </a:r>
        </a:p>
        <a:p>
          <a:endParaRPr lang="en-US" sz="1200"/>
        </a:p>
        <a:p>
          <a:r>
            <a:rPr lang="en-US" sz="1200"/>
            <a:t>This chart shows that the majority of candidates need improvement in skills or salary expectations.</a:t>
          </a:r>
          <a:endParaRPr lang="en-PK" sz="12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23812</xdr:colOff>
      <xdr:row>2</xdr:row>
      <xdr:rowOff>4762</xdr:rowOff>
    </xdr:from>
    <xdr:to>
      <xdr:col>14</xdr:col>
      <xdr:colOff>328612</xdr:colOff>
      <xdr:row>16</xdr:row>
      <xdr:rowOff>80962</xdr:rowOff>
    </xdr:to>
    <xdr:graphicFrame macro="">
      <xdr:nvGraphicFramePr>
        <xdr:cNvPr id="3" name="Chart 2">
          <a:extLst>
            <a:ext uri="{FF2B5EF4-FFF2-40B4-BE49-F238E27FC236}">
              <a16:creationId xmlns:a16="http://schemas.microsoft.com/office/drawing/2014/main" id="{D0E4913B-9B36-32C1-2FBA-BBF6620FE7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28575</xdr:colOff>
      <xdr:row>10</xdr:row>
      <xdr:rowOff>28575</xdr:rowOff>
    </xdr:from>
    <xdr:to>
      <xdr:col>6</xdr:col>
      <xdr:colOff>200025</xdr:colOff>
      <xdr:row>20</xdr:row>
      <xdr:rowOff>47625</xdr:rowOff>
    </xdr:to>
    <xdr:sp macro="" textlink="">
      <xdr:nvSpPr>
        <xdr:cNvPr id="4" name="TextBox 3">
          <a:extLst>
            <a:ext uri="{FF2B5EF4-FFF2-40B4-BE49-F238E27FC236}">
              <a16:creationId xmlns:a16="http://schemas.microsoft.com/office/drawing/2014/main" id="{67346A20-4E3A-42CB-72E2-9AD790BBC25C}"/>
            </a:ext>
          </a:extLst>
        </xdr:cNvPr>
        <xdr:cNvSpPr txBox="1"/>
      </xdr:nvSpPr>
      <xdr:spPr>
        <a:xfrm>
          <a:off x="28575" y="1933575"/>
          <a:ext cx="5010150" cy="1924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Business Analyst received 7 applications, but only 2 candidates are fully shortlisted.</a:t>
          </a:r>
          <a:br>
            <a:rPr lang="en-US"/>
          </a:br>
          <a:r>
            <a:rPr lang="en-US"/>
            <a:t>Data Analyst received 6 applications, but none are shortlisted.</a:t>
          </a:r>
          <a:br>
            <a:rPr lang="en-US"/>
          </a:br>
          <a:r>
            <a:rPr lang="en-US"/>
            <a:t>Marketing Analyst received 5 applications, with 1 candidate shortlisted.</a:t>
          </a:r>
          <a:br>
            <a:rPr lang="en-US"/>
          </a:br>
          <a:r>
            <a:rPr lang="en-US"/>
            <a:t>Ops Coordinator received 7 applications, with 1 candidate shortlisted.</a:t>
          </a:r>
          <a:br>
            <a:rPr lang="en-US"/>
          </a:br>
          <a:endParaRPr lang="en-US"/>
        </a:p>
        <a:p>
          <a:r>
            <a:rPr lang="en-US"/>
            <a:t>This chart shows that while some roles have many applicants, only a few meet all requirements and budget. Recruiters can use this insight to focus their interviews on roles with the most qualified candidates, like Business Analyst, and understand where talent gaps exist, like Data Analyst.</a:t>
          </a:r>
        </a:p>
        <a:p>
          <a:endParaRPr lang="en-PK"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247650</xdr:colOff>
      <xdr:row>3</xdr:row>
      <xdr:rowOff>23812</xdr:rowOff>
    </xdr:from>
    <xdr:to>
      <xdr:col>12</xdr:col>
      <xdr:colOff>552450</xdr:colOff>
      <xdr:row>17</xdr:row>
      <xdr:rowOff>100012</xdr:rowOff>
    </xdr:to>
    <xdr:graphicFrame macro="">
      <xdr:nvGraphicFramePr>
        <xdr:cNvPr id="2" name="Chart 1">
          <a:extLst>
            <a:ext uri="{FF2B5EF4-FFF2-40B4-BE49-F238E27FC236}">
              <a16:creationId xmlns:a16="http://schemas.microsoft.com/office/drawing/2014/main" id="{5BE1F426-E86A-8BB8-5DD5-E0B2C1FF20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228599</xdr:colOff>
      <xdr:row>7</xdr:row>
      <xdr:rowOff>114300</xdr:rowOff>
    </xdr:from>
    <xdr:to>
      <xdr:col>4</xdr:col>
      <xdr:colOff>9525</xdr:colOff>
      <xdr:row>18</xdr:row>
      <xdr:rowOff>57150</xdr:rowOff>
    </xdr:to>
    <xdr:sp macro="" textlink="">
      <xdr:nvSpPr>
        <xdr:cNvPr id="3" name="TextBox 2">
          <a:extLst>
            <a:ext uri="{FF2B5EF4-FFF2-40B4-BE49-F238E27FC236}">
              <a16:creationId xmlns:a16="http://schemas.microsoft.com/office/drawing/2014/main" id="{AE4718B8-C51C-266F-C5CE-94AC33F0501D}"/>
            </a:ext>
          </a:extLst>
        </xdr:cNvPr>
        <xdr:cNvSpPr txBox="1"/>
      </xdr:nvSpPr>
      <xdr:spPr>
        <a:xfrm>
          <a:off x="228599" y="1447800"/>
          <a:ext cx="3800476" cy="2038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The average expected salary of candidates who are not shortlisted is $54,286, while the average salary of shortlisted candidates is $50,000. </a:t>
          </a:r>
          <a:br>
            <a:rPr lang="en-US"/>
          </a:br>
          <a:br>
            <a:rPr lang="en-US"/>
          </a:br>
          <a:r>
            <a:rPr lang="en-US"/>
            <a:t>This shows that most candidates who meet all requirements are within the budget, while higher salaries often belong to candidates who do not fully meet skills or budget criteria. </a:t>
          </a:r>
          <a:br>
            <a:rPr lang="en-US"/>
          </a:br>
          <a:br>
            <a:rPr lang="en-US"/>
          </a:br>
          <a:r>
            <a:rPr lang="en-US"/>
            <a:t>Hiring</a:t>
          </a:r>
          <a:r>
            <a:rPr lang="en-US" baseline="0"/>
            <a:t> manager can </a:t>
          </a:r>
          <a:r>
            <a:rPr lang="en-US"/>
            <a:t>focus on the fully qualified candidates who are affordable.</a:t>
          </a:r>
          <a:endParaRPr lang="en-PK"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R" refreshedDate="45994.935984143522" createdVersion="8" refreshedVersion="8" minRefreshableVersion="3" recordCount="25" xr:uid="{70BD7EC2-5202-4EBD-ADF2-7486DBABF9F6}">
  <cacheSource type="worksheet">
    <worksheetSource ref="A1:Q26" sheet="updated_25_candidates_dataset"/>
  </cacheSource>
  <cacheFields count="17">
    <cacheField name="Candidate_ID" numFmtId="0">
      <sharedItems count="25">
        <s v="C0001"/>
        <s v="C0002"/>
        <s v="C0003"/>
        <s v="C0004"/>
        <s v="C0005"/>
        <s v="C0006"/>
        <s v="C0007"/>
        <s v="C0008"/>
        <s v="C0009"/>
        <s v="C0010"/>
        <s v="C0011"/>
        <s v="C0012"/>
        <s v="C0013"/>
        <s v="C0014"/>
        <s v="C0015"/>
        <s v="C0016"/>
        <s v="C0017"/>
        <s v="C0018"/>
        <s v="C0019"/>
        <s v="C0020"/>
        <s v="C0021"/>
        <s v="C0022"/>
        <s v="C0023"/>
        <s v="C0024"/>
        <s v="C0025"/>
      </sharedItems>
    </cacheField>
    <cacheField name="Candidate Name" numFmtId="0">
      <sharedItems/>
    </cacheField>
    <cacheField name="Gender" numFmtId="0">
      <sharedItems/>
    </cacheField>
    <cacheField name="Applied_Role" numFmtId="0">
      <sharedItems count="4">
        <s v="Data Analyst"/>
        <s v="Business Analyst"/>
        <s v="Ops Coordinator"/>
        <s v="Marketing Analyst"/>
      </sharedItems>
    </cacheField>
    <cacheField name="Excel_Experience (Years)" numFmtId="0">
      <sharedItems containsSemiMixedTypes="0" containsString="0" containsNumber="1" containsInteger="1" minValue="0" maxValue="7" count="8">
        <n v="7"/>
        <n v="1"/>
        <n v="4"/>
        <n v="5"/>
        <n v="2"/>
        <n v="3"/>
        <n v="0"/>
        <n v="6"/>
      </sharedItems>
    </cacheField>
    <cacheField name="SQL_Experience (Years)" numFmtId="0">
      <sharedItems containsSemiMixedTypes="0" containsString="0" containsNumber="1" containsInteger="1" minValue="0" maxValue="7" count="8">
        <n v="2"/>
        <n v="6"/>
        <n v="5"/>
        <n v="0"/>
        <n v="4"/>
        <n v="1"/>
        <n v="7"/>
        <n v="3"/>
      </sharedItems>
    </cacheField>
    <cacheField name="Python_Experience (Years)" numFmtId="0">
      <sharedItems containsSemiMixedTypes="0" containsString="0" containsNumber="1" containsInteger="1" minValue="0" maxValue="7" count="8">
        <n v="4"/>
        <n v="5"/>
        <n v="0"/>
        <n v="7"/>
        <n v="6"/>
        <n v="2"/>
        <n v="3"/>
        <n v="1"/>
      </sharedItems>
    </cacheField>
    <cacheField name="Expected_Salary ($)" numFmtId="0">
      <sharedItems containsSemiMixedTypes="0" containsString="0" containsNumber="1" containsInteger="1" minValue="45000" maxValue="65000"/>
    </cacheField>
    <cacheField name="Availability" numFmtId="0">
      <sharedItems/>
    </cacheField>
    <cacheField name="Recruiter_Score" numFmtId="0">
      <sharedItems containsSemiMixedTypes="0" containsString="0" containsNumber="1" minValue="2.5" maxValue="4.9000000000000004"/>
    </cacheField>
    <cacheField name="Candidate_City" numFmtId="0">
      <sharedItems/>
    </cacheField>
    <cacheField name="Meets_Excel_Requirement" numFmtId="0">
      <sharedItems/>
    </cacheField>
    <cacheField name="Meets_SQL_Requirement" numFmtId="0">
      <sharedItems/>
    </cacheField>
    <cacheField name="Meets_Python_Requirement" numFmtId="0">
      <sharedItems/>
    </cacheField>
    <cacheField name="Meets_All_Requirements" numFmtId="0">
      <sharedItems/>
    </cacheField>
    <cacheField name="Salary_Within_Budget" numFmtId="0">
      <sharedItems/>
    </cacheField>
    <cacheField name="Final_Shortlisted" numFmtId="0">
      <sharedItems count="2">
        <b v="0"/>
        <b v="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x v="0"/>
    <s v="John Miller"/>
    <s v="Female"/>
    <x v="0"/>
    <x v="0"/>
    <x v="0"/>
    <x v="0"/>
    <n v="65000"/>
    <s v="30 Days"/>
    <n v="3.5"/>
    <s v="New York"/>
    <b v="1"/>
    <b v="0"/>
    <b v="1"/>
    <b v="0"/>
    <b v="0"/>
    <x v="0"/>
  </r>
  <r>
    <x v="1"/>
    <s v="Emma Thompson"/>
    <s v="Female"/>
    <x v="0"/>
    <x v="1"/>
    <x v="1"/>
    <x v="1"/>
    <n v="50000"/>
    <s v="60 Days"/>
    <n v="2.5"/>
    <s v="London"/>
    <b v="0"/>
    <b v="1"/>
    <b v="1"/>
    <b v="0"/>
    <b v="1"/>
    <x v="0"/>
  </r>
  <r>
    <x v="2"/>
    <s v="Liam Carter"/>
    <s v="Male"/>
    <x v="1"/>
    <x v="2"/>
    <x v="1"/>
    <x v="2"/>
    <n v="50000"/>
    <s v="60 Days"/>
    <n v="3.6"/>
    <s v="Berlin"/>
    <b v="1"/>
    <b v="1"/>
    <b v="0"/>
    <b v="0"/>
    <b v="1"/>
    <x v="0"/>
  </r>
  <r>
    <x v="3"/>
    <s v="Olivia Brooks"/>
    <s v="Female"/>
    <x v="2"/>
    <x v="3"/>
    <x v="2"/>
    <x v="3"/>
    <n v="45000"/>
    <s v="Immediate"/>
    <n v="4.3"/>
    <s v="Oslo"/>
    <b v="1"/>
    <b v="1"/>
    <b v="1"/>
    <b v="1"/>
    <b v="1"/>
    <x v="1"/>
  </r>
  <r>
    <x v="4"/>
    <s v="Noah Jensen"/>
    <s v="Male"/>
    <x v="0"/>
    <x v="3"/>
    <x v="0"/>
    <x v="3"/>
    <n v="45000"/>
    <s v="30 Days"/>
    <n v="2.8"/>
    <s v="Dublin"/>
    <b v="1"/>
    <b v="0"/>
    <b v="1"/>
    <b v="0"/>
    <b v="1"/>
    <x v="0"/>
  </r>
  <r>
    <x v="5"/>
    <s v="Ava Schultz"/>
    <s v="Female"/>
    <x v="1"/>
    <x v="1"/>
    <x v="3"/>
    <x v="1"/>
    <n v="55000"/>
    <s v="30 Days"/>
    <n v="3.1"/>
    <s v="Berlin"/>
    <b v="0"/>
    <b v="0"/>
    <b v="1"/>
    <b v="0"/>
    <b v="1"/>
    <x v="0"/>
  </r>
  <r>
    <x v="6"/>
    <s v="Ethan Romano"/>
    <s v="Female"/>
    <x v="2"/>
    <x v="2"/>
    <x v="1"/>
    <x v="2"/>
    <n v="65000"/>
    <s v="60 Days"/>
    <n v="2.9"/>
    <s v="Oslo"/>
    <b v="1"/>
    <b v="1"/>
    <b v="0"/>
    <b v="0"/>
    <b v="0"/>
    <x v="0"/>
  </r>
  <r>
    <x v="7"/>
    <s v="Sophia Keller"/>
    <s v="Female"/>
    <x v="0"/>
    <x v="4"/>
    <x v="4"/>
    <x v="4"/>
    <n v="50000"/>
    <s v="Immediate"/>
    <n v="2.7"/>
    <s v="New York"/>
    <b v="0"/>
    <b v="1"/>
    <b v="1"/>
    <b v="0"/>
    <b v="1"/>
    <x v="0"/>
  </r>
  <r>
    <x v="8"/>
    <s v="Mason Fischer"/>
    <s v="Female"/>
    <x v="2"/>
    <x v="0"/>
    <x v="5"/>
    <x v="5"/>
    <n v="65000"/>
    <s v="60 Days"/>
    <n v="3.1"/>
    <s v="Paris"/>
    <b v="1"/>
    <b v="0"/>
    <b v="0"/>
    <b v="0"/>
    <b v="0"/>
    <x v="0"/>
  </r>
  <r>
    <x v="9"/>
    <s v="Isabella Novak"/>
    <s v="Male"/>
    <x v="2"/>
    <x v="5"/>
    <x v="3"/>
    <x v="6"/>
    <n v="50000"/>
    <s v="30 Days"/>
    <n v="4.4000000000000004"/>
    <s v="New York"/>
    <b v="1"/>
    <b v="0"/>
    <b v="1"/>
    <b v="0"/>
    <b v="1"/>
    <x v="0"/>
  </r>
  <r>
    <x v="10"/>
    <s v="Lucas Marino"/>
    <s v="Male"/>
    <x v="1"/>
    <x v="2"/>
    <x v="2"/>
    <x v="3"/>
    <n v="50000"/>
    <s v="30 Days"/>
    <n v="2.7"/>
    <s v="Oslo"/>
    <b v="1"/>
    <b v="1"/>
    <b v="1"/>
    <b v="1"/>
    <b v="1"/>
    <x v="1"/>
  </r>
  <r>
    <x v="11"/>
    <s v="Mia Laurent"/>
    <s v="Male"/>
    <x v="1"/>
    <x v="2"/>
    <x v="4"/>
    <x v="3"/>
    <n v="60000"/>
    <s v="60 Days"/>
    <n v="2.8"/>
    <s v="New York"/>
    <b v="1"/>
    <b v="1"/>
    <b v="1"/>
    <b v="1"/>
    <b v="0"/>
    <x v="0"/>
  </r>
  <r>
    <x v="12"/>
    <s v="Henry Adams"/>
    <s v="Female"/>
    <x v="1"/>
    <x v="2"/>
    <x v="5"/>
    <x v="7"/>
    <n v="50000"/>
    <s v="Immediate"/>
    <n v="4.5"/>
    <s v="London"/>
    <b v="1"/>
    <b v="0"/>
    <b v="0"/>
    <b v="0"/>
    <b v="1"/>
    <x v="0"/>
  </r>
  <r>
    <x v="13"/>
    <s v="Ella Johansson"/>
    <s v="Female"/>
    <x v="3"/>
    <x v="0"/>
    <x v="4"/>
    <x v="3"/>
    <n v="55000"/>
    <s v="Immediate"/>
    <n v="2.6"/>
    <s v="Paris"/>
    <b v="1"/>
    <b v="1"/>
    <b v="1"/>
    <b v="1"/>
    <b v="1"/>
    <x v="1"/>
  </r>
  <r>
    <x v="14"/>
    <s v="James Becker"/>
    <s v="Male"/>
    <x v="0"/>
    <x v="6"/>
    <x v="6"/>
    <x v="1"/>
    <n v="60000"/>
    <s v="30 Days"/>
    <n v="4.8"/>
    <s v="Paris"/>
    <b v="0"/>
    <b v="1"/>
    <b v="1"/>
    <b v="0"/>
    <b v="0"/>
    <x v="0"/>
  </r>
  <r>
    <x v="15"/>
    <s v="Chloe Martin"/>
    <s v="Female"/>
    <x v="3"/>
    <x v="3"/>
    <x v="3"/>
    <x v="0"/>
    <n v="60000"/>
    <s v="60 Days"/>
    <n v="2.9"/>
    <s v="Paris"/>
    <b v="1"/>
    <b v="0"/>
    <b v="1"/>
    <b v="0"/>
    <b v="0"/>
    <x v="0"/>
  </r>
  <r>
    <x v="16"/>
    <s v="Michael Steiner"/>
    <s v="Female"/>
    <x v="3"/>
    <x v="5"/>
    <x v="4"/>
    <x v="1"/>
    <n v="65000"/>
    <s v="Immediate"/>
    <n v="4.7"/>
    <s v="Dublin"/>
    <b v="1"/>
    <b v="1"/>
    <b v="1"/>
    <b v="1"/>
    <b v="0"/>
    <x v="0"/>
  </r>
  <r>
    <x v="17"/>
    <s v="Grace Turner"/>
    <s v="Female"/>
    <x v="2"/>
    <x v="1"/>
    <x v="4"/>
    <x v="7"/>
    <n v="50000"/>
    <s v="Immediate"/>
    <n v="3.4"/>
    <s v="London"/>
    <b v="0"/>
    <b v="1"/>
    <b v="0"/>
    <b v="0"/>
    <b v="1"/>
    <x v="0"/>
  </r>
  <r>
    <x v="18"/>
    <s v="Benjamin Rossi"/>
    <s v="Female"/>
    <x v="3"/>
    <x v="2"/>
    <x v="7"/>
    <x v="5"/>
    <n v="45000"/>
    <s v="60 Days"/>
    <n v="3.6"/>
    <s v="New York"/>
    <b v="1"/>
    <b v="1"/>
    <b v="0"/>
    <b v="0"/>
    <b v="1"/>
    <x v="0"/>
  </r>
  <r>
    <x v="19"/>
    <s v="Hannah Meyer"/>
    <s v="Male"/>
    <x v="1"/>
    <x v="7"/>
    <x v="6"/>
    <x v="4"/>
    <n v="50000"/>
    <s v="30 Days"/>
    <n v="4.4000000000000004"/>
    <s v="New York"/>
    <b v="1"/>
    <b v="1"/>
    <b v="1"/>
    <b v="1"/>
    <b v="1"/>
    <x v="1"/>
  </r>
  <r>
    <x v="20"/>
    <s v="Daniel Weber"/>
    <s v="Female"/>
    <x v="2"/>
    <x v="1"/>
    <x v="5"/>
    <x v="2"/>
    <n v="60000"/>
    <s v="60 Days"/>
    <n v="2.9"/>
    <s v="Dublin"/>
    <b v="0"/>
    <b v="0"/>
    <b v="0"/>
    <b v="0"/>
    <b v="0"/>
    <x v="0"/>
  </r>
  <r>
    <x v="21"/>
    <s v="Lily Crawford"/>
    <s v="Male"/>
    <x v="2"/>
    <x v="5"/>
    <x v="0"/>
    <x v="5"/>
    <n v="50000"/>
    <s v="30 Days"/>
    <n v="3.8"/>
    <s v="Paris"/>
    <b v="1"/>
    <b v="0"/>
    <b v="0"/>
    <b v="0"/>
    <b v="1"/>
    <x v="0"/>
  </r>
  <r>
    <x v="22"/>
    <s v="Alexander Hayes"/>
    <s v="Female"/>
    <x v="3"/>
    <x v="1"/>
    <x v="6"/>
    <x v="4"/>
    <n v="45000"/>
    <s v="60 Days"/>
    <n v="2.7"/>
    <s v="Oslo"/>
    <b v="0"/>
    <b v="1"/>
    <b v="1"/>
    <b v="0"/>
    <b v="1"/>
    <x v="0"/>
  </r>
  <r>
    <x v="23"/>
    <s v="Zoe Schmidt"/>
    <s v="Male"/>
    <x v="1"/>
    <x v="4"/>
    <x v="6"/>
    <x v="1"/>
    <n v="55000"/>
    <s v="30 Days"/>
    <n v="2.5"/>
    <s v="Dublin"/>
    <b v="0"/>
    <b v="1"/>
    <b v="1"/>
    <b v="0"/>
    <b v="1"/>
    <x v="0"/>
  </r>
  <r>
    <x v="24"/>
    <s v="Samuel Ford"/>
    <s v="Female"/>
    <x v="0"/>
    <x v="5"/>
    <x v="1"/>
    <x v="2"/>
    <n v="45000"/>
    <s v="Immediate"/>
    <n v="4.9000000000000004"/>
    <s v="New York"/>
    <b v="1"/>
    <b v="1"/>
    <b v="0"/>
    <b v="0"/>
    <b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CF84353-6C48-40FA-BA29-934D4CFAE7A7}" name="PivotTable5"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9" firstHeaderRow="1" firstDataRow="2" firstDataCol="1"/>
  <pivotFields count="17">
    <pivotField dataField="1" showAll="0"/>
    <pivotField showAll="0"/>
    <pivotField showAll="0"/>
    <pivotField axis="axisRow" showAll="0">
      <items count="5">
        <item x="1"/>
        <item x="0"/>
        <item x="3"/>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s>
  <rowFields count="1">
    <field x="3"/>
  </rowFields>
  <rowItems count="5">
    <i>
      <x/>
    </i>
    <i>
      <x v="1"/>
    </i>
    <i>
      <x v="2"/>
    </i>
    <i>
      <x v="3"/>
    </i>
    <i t="grand">
      <x/>
    </i>
  </rowItems>
  <colFields count="1">
    <field x="16"/>
  </colFields>
  <colItems count="3">
    <i>
      <x/>
    </i>
    <i>
      <x v="1"/>
    </i>
    <i t="grand">
      <x/>
    </i>
  </colItems>
  <dataFields count="1">
    <dataField name="Count of Candidate_ID" fld="0" subtotal="count" baseField="0" baseItem="0"/>
  </dataFields>
  <chartFormats count="2">
    <chartFormat chart="3" format="0" series="1">
      <pivotArea type="data" outline="0" fieldPosition="0">
        <references count="2">
          <reference field="4294967294" count="1" selected="0">
            <x v="0"/>
          </reference>
          <reference field="16" count="1" selected="0">
            <x v="0"/>
          </reference>
        </references>
      </pivotArea>
    </chartFormat>
    <chartFormat chart="3" format="1" series="1">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A1E1CBE-6BC3-498A-85AC-5956B13C7196}" name="PivotTable8"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6" firstHeaderRow="1" firstDataRow="1" firstDataCol="1"/>
  <pivotFields count="17">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axis="axisRow" showAll="0">
      <items count="3">
        <item x="0"/>
        <item x="1"/>
        <item t="default"/>
      </items>
    </pivotField>
  </pivotFields>
  <rowFields count="1">
    <field x="16"/>
  </rowFields>
  <rowItems count="3">
    <i>
      <x/>
    </i>
    <i>
      <x v="1"/>
    </i>
    <i t="grand">
      <x/>
    </i>
  </rowItems>
  <colItems count="1">
    <i/>
  </colItems>
  <dataFields count="1">
    <dataField name="Average of Expected_Salary ($)" fld="7" subtotal="average" baseField="16"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102E748-297B-4847-9BC8-872769310C6D}" name="PivotTable10"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29" firstHeaderRow="0" firstDataRow="1" firstDataCol="1"/>
  <pivotFields count="17">
    <pivotField axis="axisRow"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pivotField showAll="0"/>
    <pivotField showAll="0">
      <items count="5">
        <item x="1"/>
        <item x="0"/>
        <item x="3"/>
        <item x="2"/>
        <item t="default"/>
      </items>
    </pivotField>
    <pivotField dataField="1" showAll="0">
      <items count="9">
        <item x="6"/>
        <item x="1"/>
        <item x="4"/>
        <item x="5"/>
        <item x="2"/>
        <item x="3"/>
        <item x="7"/>
        <item x="0"/>
        <item t="default"/>
      </items>
    </pivotField>
    <pivotField dataField="1" showAll="0">
      <items count="9">
        <item x="3"/>
        <item x="5"/>
        <item x="0"/>
        <item x="7"/>
        <item x="4"/>
        <item x="2"/>
        <item x="1"/>
        <item x="6"/>
        <item t="default"/>
      </items>
    </pivotField>
    <pivotField dataField="1" showAll="0">
      <items count="9">
        <item x="2"/>
        <item x="7"/>
        <item x="5"/>
        <item x="6"/>
        <item x="0"/>
        <item x="1"/>
        <item x="4"/>
        <item x="3"/>
        <item t="default"/>
      </items>
    </pivotField>
    <pivotField showAll="0"/>
    <pivotField showAll="0"/>
    <pivotField showAll="0"/>
    <pivotField showAll="0"/>
    <pivotField showAll="0"/>
    <pivotField showAll="0"/>
    <pivotField showAll="0"/>
    <pivotField showAll="0"/>
    <pivotField showAll="0"/>
    <pivotField showAll="0"/>
  </pivotFields>
  <rowFields count="1">
    <field x="0"/>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Fields count="1">
    <field x="-2"/>
  </colFields>
  <colItems count="3">
    <i>
      <x/>
    </i>
    <i i="1">
      <x v="1"/>
    </i>
    <i i="2">
      <x v="2"/>
    </i>
  </colItems>
  <dataFields count="3">
    <dataField name="Sum of SQL_Experience (Years)" fld="5" baseField="0" baseItem="0"/>
    <dataField name="Sum of Excel_Experience (Years)" fld="4" baseField="0" baseItem="0"/>
    <dataField name="Sum of Python_Experience (Year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AD865-923C-41C2-AAAE-210A7A123969}">
  <dimension ref="A1:Q34"/>
  <sheetViews>
    <sheetView workbookViewId="0">
      <selection activeCell="R5" sqref="R5"/>
    </sheetView>
  </sheetViews>
  <sheetFormatPr defaultRowHeight="15" x14ac:dyDescent="0.25"/>
  <cols>
    <col min="1" max="1" width="12.85546875" bestFit="1" customWidth="1"/>
    <col min="2" max="2" width="16.28515625" bestFit="1" customWidth="1"/>
    <col min="3" max="3" width="7.5703125" bestFit="1" customWidth="1"/>
    <col min="4" max="4" width="17.28515625" bestFit="1" customWidth="1"/>
    <col min="5" max="5" width="22.85546875" bestFit="1" customWidth="1"/>
    <col min="6" max="6" width="21.5703125" bestFit="1" customWidth="1"/>
    <col min="7" max="7" width="24.5703125" bestFit="1" customWidth="1"/>
    <col min="8" max="8" width="18" bestFit="1" customWidth="1"/>
    <col min="9" max="9" width="11" bestFit="1" customWidth="1"/>
    <col min="10" max="10" width="15.28515625" customWidth="1"/>
    <col min="11" max="11" width="15" customWidth="1"/>
    <col min="12" max="12" width="24.7109375" customWidth="1"/>
    <col min="13" max="13" width="25.140625" customWidth="1"/>
    <col min="14" max="14" width="28.140625" customWidth="1"/>
    <col min="15" max="15" width="24.7109375" customWidth="1"/>
    <col min="16" max="16" width="22.5703125" customWidth="1"/>
    <col min="17" max="17" width="18.42578125" customWidth="1"/>
  </cols>
  <sheetData>
    <row r="1" spans="1:17" ht="30" x14ac:dyDescent="0.25">
      <c r="A1" s="4" t="s">
        <v>39</v>
      </c>
      <c r="B1" s="3" t="s">
        <v>0</v>
      </c>
      <c r="C1" s="3" t="s">
        <v>1</v>
      </c>
      <c r="D1" s="3" t="s">
        <v>65</v>
      </c>
      <c r="E1" s="3" t="s">
        <v>66</v>
      </c>
      <c r="F1" s="3" t="s">
        <v>67</v>
      </c>
      <c r="G1" s="3" t="s">
        <v>68</v>
      </c>
      <c r="H1" s="3" t="s">
        <v>69</v>
      </c>
      <c r="I1" s="3" t="s">
        <v>72</v>
      </c>
      <c r="J1" s="3" t="s">
        <v>70</v>
      </c>
      <c r="K1" s="5" t="s">
        <v>71</v>
      </c>
      <c r="L1" s="6" t="s">
        <v>73</v>
      </c>
      <c r="M1" s="6" t="s">
        <v>77</v>
      </c>
      <c r="N1" s="6" t="s">
        <v>78</v>
      </c>
      <c r="O1" s="6" t="s">
        <v>79</v>
      </c>
      <c r="P1" s="6" t="s">
        <v>80</v>
      </c>
      <c r="Q1" s="6" t="s">
        <v>81</v>
      </c>
    </row>
    <row r="2" spans="1:17" x14ac:dyDescent="0.25">
      <c r="A2" s="2" t="s">
        <v>40</v>
      </c>
      <c r="B2" s="2" t="s">
        <v>2</v>
      </c>
      <c r="C2" s="2" t="s">
        <v>3</v>
      </c>
      <c r="D2" s="2" t="s">
        <v>4</v>
      </c>
      <c r="E2" s="2">
        <v>7</v>
      </c>
      <c r="F2" s="2">
        <v>2</v>
      </c>
      <c r="G2" s="2">
        <v>4</v>
      </c>
      <c r="H2" s="2">
        <v>65000</v>
      </c>
      <c r="I2" s="2" t="s">
        <v>75</v>
      </c>
      <c r="J2" s="2">
        <v>3.5</v>
      </c>
      <c r="K2" s="2" t="s">
        <v>5</v>
      </c>
      <c r="L2" t="b">
        <f>IF(E2&gt;=3, TRUE, FALSE)</f>
        <v>1</v>
      </c>
      <c r="M2" t="b">
        <f>IF(F2&gt;=3, TRUE, FALSE)</f>
        <v>0</v>
      </c>
      <c r="N2" t="b">
        <f>IF(G2&gt;=3, TRUE, FALSE)</f>
        <v>1</v>
      </c>
      <c r="O2" t="b">
        <f>AND(L2, M2, N2)</f>
        <v>0</v>
      </c>
      <c r="P2" t="b">
        <f>IF(H2&lt;=55000, TRUE, FALSE)</f>
        <v>0</v>
      </c>
      <c r="Q2" t="b">
        <f>AND(O2, P2)</f>
        <v>0</v>
      </c>
    </row>
    <row r="3" spans="1:17" x14ac:dyDescent="0.25">
      <c r="A3" s="2" t="s">
        <v>41</v>
      </c>
      <c r="B3" s="2" t="s">
        <v>6</v>
      </c>
      <c r="C3" s="2" t="s">
        <v>3</v>
      </c>
      <c r="D3" s="2" t="s">
        <v>4</v>
      </c>
      <c r="E3" s="2">
        <v>1</v>
      </c>
      <c r="F3" s="2">
        <v>6</v>
      </c>
      <c r="G3" s="2">
        <v>5</v>
      </c>
      <c r="H3" s="2">
        <v>50000</v>
      </c>
      <c r="I3" s="2" t="s">
        <v>76</v>
      </c>
      <c r="J3" s="2">
        <v>2.5</v>
      </c>
      <c r="K3" s="2" t="s">
        <v>7</v>
      </c>
      <c r="L3" t="b">
        <f t="shared" ref="L3:L26" si="0">IF(E3&gt;=3, TRUE, FALSE)</f>
        <v>0</v>
      </c>
      <c r="M3" t="b">
        <f t="shared" ref="M3:M26" si="1">IF(F3&gt;=3, TRUE, FALSE)</f>
        <v>1</v>
      </c>
      <c r="N3" t="b">
        <f t="shared" ref="N3:N26" si="2">IF(G3&gt;=3, TRUE, FALSE)</f>
        <v>1</v>
      </c>
      <c r="O3" t="b">
        <f t="shared" ref="O3:O26" si="3">AND(L3, M3, N3)</f>
        <v>0</v>
      </c>
      <c r="P3" t="b">
        <f t="shared" ref="P3:P26" si="4">IF(H3&lt;=55000, TRUE, FALSE)</f>
        <v>1</v>
      </c>
      <c r="Q3" t="b">
        <f t="shared" ref="Q3:Q26" si="5">AND(O3, P3)</f>
        <v>0</v>
      </c>
    </row>
    <row r="4" spans="1:17" x14ac:dyDescent="0.25">
      <c r="A4" s="2" t="s">
        <v>42</v>
      </c>
      <c r="B4" s="2" t="s">
        <v>8</v>
      </c>
      <c r="C4" s="2" t="s">
        <v>9</v>
      </c>
      <c r="D4" s="2" t="s">
        <v>10</v>
      </c>
      <c r="E4" s="2">
        <v>4</v>
      </c>
      <c r="F4" s="2">
        <v>6</v>
      </c>
      <c r="G4" s="2">
        <v>0</v>
      </c>
      <c r="H4" s="2">
        <v>50000</v>
      </c>
      <c r="I4" s="2" t="s">
        <v>76</v>
      </c>
      <c r="J4" s="2">
        <v>3.6</v>
      </c>
      <c r="K4" s="2" t="s">
        <v>11</v>
      </c>
      <c r="L4" t="b">
        <f t="shared" si="0"/>
        <v>1</v>
      </c>
      <c r="M4" t="b">
        <f t="shared" si="1"/>
        <v>1</v>
      </c>
      <c r="N4" t="b">
        <f t="shared" si="2"/>
        <v>0</v>
      </c>
      <c r="O4" t="b">
        <f t="shared" si="3"/>
        <v>0</v>
      </c>
      <c r="P4" t="b">
        <f t="shared" si="4"/>
        <v>1</v>
      </c>
      <c r="Q4" t="b">
        <f t="shared" si="5"/>
        <v>0</v>
      </c>
    </row>
    <row r="5" spans="1:17" x14ac:dyDescent="0.25">
      <c r="A5" s="2" t="s">
        <v>43</v>
      </c>
      <c r="B5" s="2" t="s">
        <v>12</v>
      </c>
      <c r="C5" s="2" t="s">
        <v>3</v>
      </c>
      <c r="D5" s="2" t="s">
        <v>13</v>
      </c>
      <c r="E5" s="2">
        <v>5</v>
      </c>
      <c r="F5" s="2">
        <v>5</v>
      </c>
      <c r="G5" s="2">
        <v>7</v>
      </c>
      <c r="H5" s="2">
        <v>45000</v>
      </c>
      <c r="I5" s="2" t="s">
        <v>74</v>
      </c>
      <c r="J5" s="2">
        <v>4.3</v>
      </c>
      <c r="K5" s="2" t="s">
        <v>14</v>
      </c>
      <c r="L5" t="b">
        <f t="shared" si="0"/>
        <v>1</v>
      </c>
      <c r="M5" t="b">
        <f t="shared" si="1"/>
        <v>1</v>
      </c>
      <c r="N5" t="b">
        <f t="shared" si="2"/>
        <v>1</v>
      </c>
      <c r="O5" t="b">
        <f t="shared" si="3"/>
        <v>1</v>
      </c>
      <c r="P5" t="b">
        <f t="shared" si="4"/>
        <v>1</v>
      </c>
      <c r="Q5" t="b">
        <f t="shared" si="5"/>
        <v>1</v>
      </c>
    </row>
    <row r="6" spans="1:17" x14ac:dyDescent="0.25">
      <c r="A6" s="2" t="s">
        <v>44</v>
      </c>
      <c r="B6" s="2" t="s">
        <v>15</v>
      </c>
      <c r="C6" s="2" t="s">
        <v>9</v>
      </c>
      <c r="D6" s="2" t="s">
        <v>4</v>
      </c>
      <c r="E6" s="2">
        <v>5</v>
      </c>
      <c r="F6" s="2">
        <v>2</v>
      </c>
      <c r="G6" s="2">
        <v>7</v>
      </c>
      <c r="H6" s="2">
        <v>45000</v>
      </c>
      <c r="I6" s="2" t="s">
        <v>75</v>
      </c>
      <c r="J6" s="2">
        <v>2.8</v>
      </c>
      <c r="K6" s="2" t="s">
        <v>16</v>
      </c>
      <c r="L6" t="b">
        <f t="shared" si="0"/>
        <v>1</v>
      </c>
      <c r="M6" t="b">
        <f t="shared" si="1"/>
        <v>0</v>
      </c>
      <c r="N6" t="b">
        <f t="shared" si="2"/>
        <v>1</v>
      </c>
      <c r="O6" t="b">
        <f t="shared" si="3"/>
        <v>0</v>
      </c>
      <c r="P6" t="b">
        <f t="shared" si="4"/>
        <v>1</v>
      </c>
      <c r="Q6" t="b">
        <f t="shared" si="5"/>
        <v>0</v>
      </c>
    </row>
    <row r="7" spans="1:17" x14ac:dyDescent="0.25">
      <c r="A7" s="2" t="s">
        <v>45</v>
      </c>
      <c r="B7" s="2" t="s">
        <v>17</v>
      </c>
      <c r="C7" s="2" t="s">
        <v>3</v>
      </c>
      <c r="D7" s="2" t="s">
        <v>10</v>
      </c>
      <c r="E7" s="2">
        <v>1</v>
      </c>
      <c r="F7" s="2">
        <v>0</v>
      </c>
      <c r="G7" s="2">
        <v>5</v>
      </c>
      <c r="H7" s="2">
        <v>55000</v>
      </c>
      <c r="I7" s="2" t="s">
        <v>75</v>
      </c>
      <c r="J7" s="2">
        <v>3.1</v>
      </c>
      <c r="K7" s="2" t="s">
        <v>11</v>
      </c>
      <c r="L7" t="b">
        <f t="shared" si="0"/>
        <v>0</v>
      </c>
      <c r="M7" t="b">
        <f t="shared" si="1"/>
        <v>0</v>
      </c>
      <c r="N7" t="b">
        <f t="shared" si="2"/>
        <v>1</v>
      </c>
      <c r="O7" t="b">
        <f t="shared" si="3"/>
        <v>0</v>
      </c>
      <c r="P7" t="b">
        <f t="shared" si="4"/>
        <v>1</v>
      </c>
      <c r="Q7" t="b">
        <f t="shared" si="5"/>
        <v>0</v>
      </c>
    </row>
    <row r="8" spans="1:17" x14ac:dyDescent="0.25">
      <c r="A8" s="2" t="s">
        <v>46</v>
      </c>
      <c r="B8" s="2" t="s">
        <v>18</v>
      </c>
      <c r="C8" s="2" t="s">
        <v>3</v>
      </c>
      <c r="D8" s="2" t="s">
        <v>13</v>
      </c>
      <c r="E8" s="2">
        <v>4</v>
      </c>
      <c r="F8" s="2">
        <v>6</v>
      </c>
      <c r="G8" s="2">
        <v>0</v>
      </c>
      <c r="H8" s="2">
        <v>65000</v>
      </c>
      <c r="I8" s="2" t="s">
        <v>76</v>
      </c>
      <c r="J8" s="2">
        <v>2.9</v>
      </c>
      <c r="K8" s="2" t="s">
        <v>14</v>
      </c>
      <c r="L8" t="b">
        <f t="shared" si="0"/>
        <v>1</v>
      </c>
      <c r="M8" t="b">
        <f t="shared" si="1"/>
        <v>1</v>
      </c>
      <c r="N8" t="b">
        <f t="shared" si="2"/>
        <v>0</v>
      </c>
      <c r="O8" t="b">
        <f t="shared" si="3"/>
        <v>0</v>
      </c>
      <c r="P8" t="b">
        <f t="shared" si="4"/>
        <v>0</v>
      </c>
      <c r="Q8" t="b">
        <f t="shared" si="5"/>
        <v>0</v>
      </c>
    </row>
    <row r="9" spans="1:17" x14ac:dyDescent="0.25">
      <c r="A9" s="2" t="s">
        <v>47</v>
      </c>
      <c r="B9" s="2" t="s">
        <v>19</v>
      </c>
      <c r="C9" s="2" t="s">
        <v>3</v>
      </c>
      <c r="D9" s="2" t="s">
        <v>4</v>
      </c>
      <c r="E9" s="2">
        <v>2</v>
      </c>
      <c r="F9" s="2">
        <v>4</v>
      </c>
      <c r="G9" s="2">
        <v>6</v>
      </c>
      <c r="H9" s="2">
        <v>50000</v>
      </c>
      <c r="I9" s="2" t="s">
        <v>74</v>
      </c>
      <c r="J9" s="2">
        <v>2.7</v>
      </c>
      <c r="K9" s="2" t="s">
        <v>5</v>
      </c>
      <c r="L9" t="b">
        <f t="shared" si="0"/>
        <v>0</v>
      </c>
      <c r="M9" t="b">
        <f t="shared" si="1"/>
        <v>1</v>
      </c>
      <c r="N9" t="b">
        <f t="shared" si="2"/>
        <v>1</v>
      </c>
      <c r="O9" t="b">
        <f t="shared" si="3"/>
        <v>0</v>
      </c>
      <c r="P9" t="b">
        <f t="shared" si="4"/>
        <v>1</v>
      </c>
      <c r="Q9" t="b">
        <f t="shared" si="5"/>
        <v>0</v>
      </c>
    </row>
    <row r="10" spans="1:17" x14ac:dyDescent="0.25">
      <c r="A10" s="2" t="s">
        <v>48</v>
      </c>
      <c r="B10" s="2" t="s">
        <v>20</v>
      </c>
      <c r="C10" s="2" t="s">
        <v>3</v>
      </c>
      <c r="D10" s="2" t="s">
        <v>13</v>
      </c>
      <c r="E10" s="2">
        <v>7</v>
      </c>
      <c r="F10" s="2">
        <v>1</v>
      </c>
      <c r="G10" s="2">
        <v>2</v>
      </c>
      <c r="H10" s="2">
        <v>65000</v>
      </c>
      <c r="I10" s="2" t="s">
        <v>76</v>
      </c>
      <c r="J10" s="2">
        <v>3.1</v>
      </c>
      <c r="K10" s="2" t="s">
        <v>21</v>
      </c>
      <c r="L10" t="b">
        <f t="shared" si="0"/>
        <v>1</v>
      </c>
      <c r="M10" t="b">
        <f t="shared" si="1"/>
        <v>0</v>
      </c>
      <c r="N10" t="b">
        <f t="shared" si="2"/>
        <v>0</v>
      </c>
      <c r="O10" t="b">
        <f t="shared" si="3"/>
        <v>0</v>
      </c>
      <c r="P10" t="b">
        <f t="shared" si="4"/>
        <v>0</v>
      </c>
      <c r="Q10" t="b">
        <f t="shared" si="5"/>
        <v>0</v>
      </c>
    </row>
    <row r="11" spans="1:17" x14ac:dyDescent="0.25">
      <c r="A11" s="2" t="s">
        <v>49</v>
      </c>
      <c r="B11" s="2" t="s">
        <v>22</v>
      </c>
      <c r="C11" s="2" t="s">
        <v>9</v>
      </c>
      <c r="D11" s="2" t="s">
        <v>13</v>
      </c>
      <c r="E11" s="2">
        <v>3</v>
      </c>
      <c r="F11" s="2">
        <v>0</v>
      </c>
      <c r="G11" s="2">
        <v>3</v>
      </c>
      <c r="H11" s="2">
        <v>50000</v>
      </c>
      <c r="I11" s="2" t="s">
        <v>75</v>
      </c>
      <c r="J11" s="2">
        <v>4.4000000000000004</v>
      </c>
      <c r="K11" s="2" t="s">
        <v>5</v>
      </c>
      <c r="L11" t="b">
        <f t="shared" si="0"/>
        <v>1</v>
      </c>
      <c r="M11" t="b">
        <f t="shared" si="1"/>
        <v>0</v>
      </c>
      <c r="N11" t="b">
        <f t="shared" si="2"/>
        <v>1</v>
      </c>
      <c r="O11" t="b">
        <f t="shared" si="3"/>
        <v>0</v>
      </c>
      <c r="P11" t="b">
        <f t="shared" si="4"/>
        <v>1</v>
      </c>
      <c r="Q11" t="b">
        <f t="shared" si="5"/>
        <v>0</v>
      </c>
    </row>
    <row r="12" spans="1:17" x14ac:dyDescent="0.25">
      <c r="A12" s="2" t="s">
        <v>50</v>
      </c>
      <c r="B12" s="2" t="s">
        <v>23</v>
      </c>
      <c r="C12" s="2" t="s">
        <v>9</v>
      </c>
      <c r="D12" s="2" t="s">
        <v>10</v>
      </c>
      <c r="E12" s="2">
        <v>4</v>
      </c>
      <c r="F12" s="2">
        <v>5</v>
      </c>
      <c r="G12" s="2">
        <v>7</v>
      </c>
      <c r="H12" s="2">
        <v>50000</v>
      </c>
      <c r="I12" s="2" t="s">
        <v>75</v>
      </c>
      <c r="J12" s="2">
        <v>2.7</v>
      </c>
      <c r="K12" s="2" t="s">
        <v>14</v>
      </c>
      <c r="L12" t="b">
        <f t="shared" si="0"/>
        <v>1</v>
      </c>
      <c r="M12" t="b">
        <f t="shared" si="1"/>
        <v>1</v>
      </c>
      <c r="N12" t="b">
        <f t="shared" si="2"/>
        <v>1</v>
      </c>
      <c r="O12" t="b">
        <f t="shared" si="3"/>
        <v>1</v>
      </c>
      <c r="P12" t="b">
        <f t="shared" si="4"/>
        <v>1</v>
      </c>
      <c r="Q12" t="b">
        <f t="shared" si="5"/>
        <v>1</v>
      </c>
    </row>
    <row r="13" spans="1:17" x14ac:dyDescent="0.25">
      <c r="A13" s="2" t="s">
        <v>51</v>
      </c>
      <c r="B13" s="2" t="s">
        <v>24</v>
      </c>
      <c r="C13" s="2" t="s">
        <v>9</v>
      </c>
      <c r="D13" s="2" t="s">
        <v>10</v>
      </c>
      <c r="E13" s="2">
        <v>4</v>
      </c>
      <c r="F13" s="2">
        <v>4</v>
      </c>
      <c r="G13" s="2">
        <v>7</v>
      </c>
      <c r="H13" s="2">
        <v>60000</v>
      </c>
      <c r="I13" s="2" t="s">
        <v>76</v>
      </c>
      <c r="J13" s="2">
        <v>2.8</v>
      </c>
      <c r="K13" s="2" t="s">
        <v>5</v>
      </c>
      <c r="L13" t="b">
        <f t="shared" si="0"/>
        <v>1</v>
      </c>
      <c r="M13" t="b">
        <f t="shared" si="1"/>
        <v>1</v>
      </c>
      <c r="N13" t="b">
        <f t="shared" si="2"/>
        <v>1</v>
      </c>
      <c r="O13" t="b">
        <f t="shared" si="3"/>
        <v>1</v>
      </c>
      <c r="P13" t="b">
        <f t="shared" si="4"/>
        <v>0</v>
      </c>
      <c r="Q13" t="b">
        <f t="shared" si="5"/>
        <v>0</v>
      </c>
    </row>
    <row r="14" spans="1:17" x14ac:dyDescent="0.25">
      <c r="A14" s="2" t="s">
        <v>52</v>
      </c>
      <c r="B14" s="2" t="s">
        <v>25</v>
      </c>
      <c r="C14" s="2" t="s">
        <v>3</v>
      </c>
      <c r="D14" s="2" t="s">
        <v>10</v>
      </c>
      <c r="E14" s="2">
        <v>4</v>
      </c>
      <c r="F14" s="2">
        <v>1</v>
      </c>
      <c r="G14" s="2">
        <v>1</v>
      </c>
      <c r="H14" s="2">
        <v>50000</v>
      </c>
      <c r="I14" s="2" t="s">
        <v>74</v>
      </c>
      <c r="J14" s="2">
        <v>4.5</v>
      </c>
      <c r="K14" s="2" t="s">
        <v>7</v>
      </c>
      <c r="L14" t="b">
        <f t="shared" si="0"/>
        <v>1</v>
      </c>
      <c r="M14" t="b">
        <f t="shared" si="1"/>
        <v>0</v>
      </c>
      <c r="N14" t="b">
        <f t="shared" si="2"/>
        <v>0</v>
      </c>
      <c r="O14" t="b">
        <f t="shared" si="3"/>
        <v>0</v>
      </c>
      <c r="P14" t="b">
        <f t="shared" si="4"/>
        <v>1</v>
      </c>
      <c r="Q14" t="b">
        <f t="shared" si="5"/>
        <v>0</v>
      </c>
    </row>
    <row r="15" spans="1:17" x14ac:dyDescent="0.25">
      <c r="A15" s="2" t="s">
        <v>53</v>
      </c>
      <c r="B15" s="2" t="s">
        <v>26</v>
      </c>
      <c r="C15" s="2" t="s">
        <v>3</v>
      </c>
      <c r="D15" s="2" t="s">
        <v>27</v>
      </c>
      <c r="E15" s="2">
        <v>7</v>
      </c>
      <c r="F15" s="2">
        <v>4</v>
      </c>
      <c r="G15" s="2">
        <v>7</v>
      </c>
      <c r="H15" s="2">
        <v>55000</v>
      </c>
      <c r="I15" s="2" t="s">
        <v>74</v>
      </c>
      <c r="J15" s="2">
        <v>2.6</v>
      </c>
      <c r="K15" s="2" t="s">
        <v>21</v>
      </c>
      <c r="L15" t="b">
        <f t="shared" si="0"/>
        <v>1</v>
      </c>
      <c r="M15" t="b">
        <f t="shared" si="1"/>
        <v>1</v>
      </c>
      <c r="N15" t="b">
        <f t="shared" si="2"/>
        <v>1</v>
      </c>
      <c r="O15" t="b">
        <f t="shared" si="3"/>
        <v>1</v>
      </c>
      <c r="P15" t="b">
        <f t="shared" si="4"/>
        <v>1</v>
      </c>
      <c r="Q15" t="b">
        <f t="shared" si="5"/>
        <v>1</v>
      </c>
    </row>
    <row r="16" spans="1:17" x14ac:dyDescent="0.25">
      <c r="A16" s="2" t="s">
        <v>54</v>
      </c>
      <c r="B16" s="2" t="s">
        <v>28</v>
      </c>
      <c r="C16" s="2" t="s">
        <v>9</v>
      </c>
      <c r="D16" s="2" t="s">
        <v>4</v>
      </c>
      <c r="E16" s="2">
        <v>0</v>
      </c>
      <c r="F16" s="2">
        <v>7</v>
      </c>
      <c r="G16" s="2">
        <v>5</v>
      </c>
      <c r="H16" s="2">
        <v>60000</v>
      </c>
      <c r="I16" s="2" t="s">
        <v>75</v>
      </c>
      <c r="J16" s="2">
        <v>4.8</v>
      </c>
      <c r="K16" s="2" t="s">
        <v>21</v>
      </c>
      <c r="L16" t="b">
        <f t="shared" si="0"/>
        <v>0</v>
      </c>
      <c r="M16" t="b">
        <f t="shared" si="1"/>
        <v>1</v>
      </c>
      <c r="N16" t="b">
        <f t="shared" si="2"/>
        <v>1</v>
      </c>
      <c r="O16" t="b">
        <f t="shared" si="3"/>
        <v>0</v>
      </c>
      <c r="P16" t="b">
        <f t="shared" si="4"/>
        <v>0</v>
      </c>
      <c r="Q16" t="b">
        <f t="shared" si="5"/>
        <v>0</v>
      </c>
    </row>
    <row r="17" spans="1:17" x14ac:dyDescent="0.25">
      <c r="A17" s="2" t="s">
        <v>55</v>
      </c>
      <c r="B17" s="2" t="s">
        <v>29</v>
      </c>
      <c r="C17" s="2" t="s">
        <v>3</v>
      </c>
      <c r="D17" s="2" t="s">
        <v>27</v>
      </c>
      <c r="E17" s="2">
        <v>5</v>
      </c>
      <c r="F17" s="2">
        <v>0</v>
      </c>
      <c r="G17" s="2">
        <v>4</v>
      </c>
      <c r="H17" s="2">
        <v>60000</v>
      </c>
      <c r="I17" s="2" t="s">
        <v>76</v>
      </c>
      <c r="J17" s="2">
        <v>2.9</v>
      </c>
      <c r="K17" s="2" t="s">
        <v>21</v>
      </c>
      <c r="L17" t="b">
        <f t="shared" si="0"/>
        <v>1</v>
      </c>
      <c r="M17" t="b">
        <f t="shared" si="1"/>
        <v>0</v>
      </c>
      <c r="N17" t="b">
        <f t="shared" si="2"/>
        <v>1</v>
      </c>
      <c r="O17" t="b">
        <f t="shared" si="3"/>
        <v>0</v>
      </c>
      <c r="P17" t="b">
        <f t="shared" si="4"/>
        <v>0</v>
      </c>
      <c r="Q17" t="b">
        <f t="shared" si="5"/>
        <v>0</v>
      </c>
    </row>
    <row r="18" spans="1:17" x14ac:dyDescent="0.25">
      <c r="A18" s="2" t="s">
        <v>56</v>
      </c>
      <c r="B18" s="2" t="s">
        <v>30</v>
      </c>
      <c r="C18" s="2" t="s">
        <v>3</v>
      </c>
      <c r="D18" s="2" t="s">
        <v>27</v>
      </c>
      <c r="E18" s="2">
        <v>3</v>
      </c>
      <c r="F18" s="2">
        <v>4</v>
      </c>
      <c r="G18" s="2">
        <v>5</v>
      </c>
      <c r="H18" s="2">
        <v>65000</v>
      </c>
      <c r="I18" s="2" t="s">
        <v>74</v>
      </c>
      <c r="J18" s="2">
        <v>4.7</v>
      </c>
      <c r="K18" s="2" t="s">
        <v>16</v>
      </c>
      <c r="L18" t="b">
        <f t="shared" si="0"/>
        <v>1</v>
      </c>
      <c r="M18" t="b">
        <f t="shared" si="1"/>
        <v>1</v>
      </c>
      <c r="N18" t="b">
        <f t="shared" si="2"/>
        <v>1</v>
      </c>
      <c r="O18" t="b">
        <f t="shared" si="3"/>
        <v>1</v>
      </c>
      <c r="P18" t="b">
        <f t="shared" si="4"/>
        <v>0</v>
      </c>
      <c r="Q18" t="b">
        <f t="shared" si="5"/>
        <v>0</v>
      </c>
    </row>
    <row r="19" spans="1:17" x14ac:dyDescent="0.25">
      <c r="A19" s="2" t="s">
        <v>57</v>
      </c>
      <c r="B19" s="2" t="s">
        <v>31</v>
      </c>
      <c r="C19" s="2" t="s">
        <v>3</v>
      </c>
      <c r="D19" s="2" t="s">
        <v>13</v>
      </c>
      <c r="E19" s="2">
        <v>1</v>
      </c>
      <c r="F19" s="2">
        <v>4</v>
      </c>
      <c r="G19" s="2">
        <v>1</v>
      </c>
      <c r="H19" s="2">
        <v>50000</v>
      </c>
      <c r="I19" s="2" t="s">
        <v>74</v>
      </c>
      <c r="J19" s="2">
        <v>3.4</v>
      </c>
      <c r="K19" s="2" t="s">
        <v>7</v>
      </c>
      <c r="L19" t="b">
        <f t="shared" si="0"/>
        <v>0</v>
      </c>
      <c r="M19" t="b">
        <f t="shared" si="1"/>
        <v>1</v>
      </c>
      <c r="N19" t="b">
        <f t="shared" si="2"/>
        <v>0</v>
      </c>
      <c r="O19" t="b">
        <f t="shared" si="3"/>
        <v>0</v>
      </c>
      <c r="P19" t="b">
        <f t="shared" si="4"/>
        <v>1</v>
      </c>
      <c r="Q19" t="b">
        <f t="shared" si="5"/>
        <v>0</v>
      </c>
    </row>
    <row r="20" spans="1:17" x14ac:dyDescent="0.25">
      <c r="A20" s="2" t="s">
        <v>58</v>
      </c>
      <c r="B20" s="2" t="s">
        <v>32</v>
      </c>
      <c r="C20" s="2" t="s">
        <v>3</v>
      </c>
      <c r="D20" s="2" t="s">
        <v>27</v>
      </c>
      <c r="E20" s="2">
        <v>4</v>
      </c>
      <c r="F20" s="2">
        <v>3</v>
      </c>
      <c r="G20" s="2">
        <v>2</v>
      </c>
      <c r="H20" s="2">
        <v>45000</v>
      </c>
      <c r="I20" s="2" t="s">
        <v>76</v>
      </c>
      <c r="J20" s="2">
        <v>3.6</v>
      </c>
      <c r="K20" s="2" t="s">
        <v>5</v>
      </c>
      <c r="L20" t="b">
        <f t="shared" si="0"/>
        <v>1</v>
      </c>
      <c r="M20" t="b">
        <f t="shared" si="1"/>
        <v>1</v>
      </c>
      <c r="N20" t="b">
        <f t="shared" si="2"/>
        <v>0</v>
      </c>
      <c r="O20" t="b">
        <f t="shared" si="3"/>
        <v>0</v>
      </c>
      <c r="P20" t="b">
        <f t="shared" si="4"/>
        <v>1</v>
      </c>
      <c r="Q20" t="b">
        <f t="shared" si="5"/>
        <v>0</v>
      </c>
    </row>
    <row r="21" spans="1:17" x14ac:dyDescent="0.25">
      <c r="A21" s="2" t="s">
        <v>59</v>
      </c>
      <c r="B21" s="2" t="s">
        <v>33</v>
      </c>
      <c r="C21" s="2" t="s">
        <v>9</v>
      </c>
      <c r="D21" s="2" t="s">
        <v>10</v>
      </c>
      <c r="E21" s="2">
        <v>6</v>
      </c>
      <c r="F21" s="2">
        <v>7</v>
      </c>
      <c r="G21" s="2">
        <v>6</v>
      </c>
      <c r="H21" s="2">
        <v>50000</v>
      </c>
      <c r="I21" s="2" t="s">
        <v>75</v>
      </c>
      <c r="J21" s="2">
        <v>4.4000000000000004</v>
      </c>
      <c r="K21" s="2" t="s">
        <v>5</v>
      </c>
      <c r="L21" t="b">
        <f t="shared" si="0"/>
        <v>1</v>
      </c>
      <c r="M21" t="b">
        <f t="shared" si="1"/>
        <v>1</v>
      </c>
      <c r="N21" t="b">
        <f t="shared" si="2"/>
        <v>1</v>
      </c>
      <c r="O21" t="b">
        <f t="shared" si="3"/>
        <v>1</v>
      </c>
      <c r="P21" t="b">
        <f t="shared" si="4"/>
        <v>1</v>
      </c>
      <c r="Q21" t="b">
        <f t="shared" si="5"/>
        <v>1</v>
      </c>
    </row>
    <row r="22" spans="1:17" x14ac:dyDescent="0.25">
      <c r="A22" s="2" t="s">
        <v>60</v>
      </c>
      <c r="B22" s="2" t="s">
        <v>34</v>
      </c>
      <c r="C22" s="2" t="s">
        <v>3</v>
      </c>
      <c r="D22" s="2" t="s">
        <v>13</v>
      </c>
      <c r="E22" s="2">
        <v>1</v>
      </c>
      <c r="F22" s="2">
        <v>1</v>
      </c>
      <c r="G22" s="2">
        <v>0</v>
      </c>
      <c r="H22" s="2">
        <v>60000</v>
      </c>
      <c r="I22" s="2" t="s">
        <v>76</v>
      </c>
      <c r="J22" s="2">
        <v>2.9</v>
      </c>
      <c r="K22" s="2" t="s">
        <v>16</v>
      </c>
      <c r="L22" t="b">
        <f t="shared" si="0"/>
        <v>0</v>
      </c>
      <c r="M22" t="b">
        <f t="shared" si="1"/>
        <v>0</v>
      </c>
      <c r="N22" t="b">
        <f t="shared" si="2"/>
        <v>0</v>
      </c>
      <c r="O22" t="b">
        <f t="shared" si="3"/>
        <v>0</v>
      </c>
      <c r="P22" t="b">
        <f t="shared" si="4"/>
        <v>0</v>
      </c>
      <c r="Q22" t="b">
        <f t="shared" si="5"/>
        <v>0</v>
      </c>
    </row>
    <row r="23" spans="1:17" x14ac:dyDescent="0.25">
      <c r="A23" s="2" t="s">
        <v>61</v>
      </c>
      <c r="B23" s="2" t="s">
        <v>35</v>
      </c>
      <c r="C23" s="2" t="s">
        <v>9</v>
      </c>
      <c r="D23" s="2" t="s">
        <v>13</v>
      </c>
      <c r="E23" s="2">
        <v>3</v>
      </c>
      <c r="F23" s="2">
        <v>2</v>
      </c>
      <c r="G23" s="2">
        <v>2</v>
      </c>
      <c r="H23" s="2">
        <v>50000</v>
      </c>
      <c r="I23" s="2" t="s">
        <v>75</v>
      </c>
      <c r="J23" s="2">
        <v>3.8</v>
      </c>
      <c r="K23" s="2" t="s">
        <v>21</v>
      </c>
      <c r="L23" t="b">
        <f t="shared" si="0"/>
        <v>1</v>
      </c>
      <c r="M23" t="b">
        <f t="shared" si="1"/>
        <v>0</v>
      </c>
      <c r="N23" t="b">
        <f t="shared" si="2"/>
        <v>0</v>
      </c>
      <c r="O23" t="b">
        <f t="shared" si="3"/>
        <v>0</v>
      </c>
      <c r="P23" t="b">
        <f t="shared" si="4"/>
        <v>1</v>
      </c>
      <c r="Q23" t="b">
        <f t="shared" si="5"/>
        <v>0</v>
      </c>
    </row>
    <row r="24" spans="1:17" x14ac:dyDescent="0.25">
      <c r="A24" s="2" t="s">
        <v>62</v>
      </c>
      <c r="B24" s="2" t="s">
        <v>36</v>
      </c>
      <c r="C24" s="2" t="s">
        <v>3</v>
      </c>
      <c r="D24" s="2" t="s">
        <v>27</v>
      </c>
      <c r="E24" s="2">
        <v>1</v>
      </c>
      <c r="F24" s="2">
        <v>7</v>
      </c>
      <c r="G24" s="2">
        <v>6</v>
      </c>
      <c r="H24" s="2">
        <v>45000</v>
      </c>
      <c r="I24" s="2" t="s">
        <v>76</v>
      </c>
      <c r="J24" s="2">
        <v>2.7</v>
      </c>
      <c r="K24" s="2" t="s">
        <v>14</v>
      </c>
      <c r="L24" t="b">
        <f t="shared" si="0"/>
        <v>0</v>
      </c>
      <c r="M24" t="b">
        <f t="shared" si="1"/>
        <v>1</v>
      </c>
      <c r="N24" t="b">
        <f t="shared" si="2"/>
        <v>1</v>
      </c>
      <c r="O24" t="b">
        <f t="shared" si="3"/>
        <v>0</v>
      </c>
      <c r="P24" t="b">
        <f t="shared" si="4"/>
        <v>1</v>
      </c>
      <c r="Q24" t="b">
        <f t="shared" si="5"/>
        <v>0</v>
      </c>
    </row>
    <row r="25" spans="1:17" x14ac:dyDescent="0.25">
      <c r="A25" s="2" t="s">
        <v>63</v>
      </c>
      <c r="B25" s="2" t="s">
        <v>37</v>
      </c>
      <c r="C25" s="2" t="s">
        <v>9</v>
      </c>
      <c r="D25" s="2" t="s">
        <v>10</v>
      </c>
      <c r="E25" s="2">
        <v>2</v>
      </c>
      <c r="F25" s="2">
        <v>7</v>
      </c>
      <c r="G25" s="2">
        <v>5</v>
      </c>
      <c r="H25" s="2">
        <v>55000</v>
      </c>
      <c r="I25" s="2" t="s">
        <v>75</v>
      </c>
      <c r="J25" s="2">
        <v>2.5</v>
      </c>
      <c r="K25" s="2" t="s">
        <v>16</v>
      </c>
      <c r="L25" t="b">
        <f t="shared" si="0"/>
        <v>0</v>
      </c>
      <c r="M25" t="b">
        <f t="shared" si="1"/>
        <v>1</v>
      </c>
      <c r="N25" t="b">
        <f t="shared" si="2"/>
        <v>1</v>
      </c>
      <c r="O25" t="b">
        <f t="shared" si="3"/>
        <v>0</v>
      </c>
      <c r="P25" t="b">
        <f t="shared" si="4"/>
        <v>1</v>
      </c>
      <c r="Q25" t="b">
        <f t="shared" si="5"/>
        <v>0</v>
      </c>
    </row>
    <row r="26" spans="1:17" x14ac:dyDescent="0.25">
      <c r="A26" s="2" t="s">
        <v>64</v>
      </c>
      <c r="B26" s="2" t="s">
        <v>38</v>
      </c>
      <c r="C26" s="2" t="s">
        <v>3</v>
      </c>
      <c r="D26" s="2" t="s">
        <v>4</v>
      </c>
      <c r="E26" s="2">
        <v>3</v>
      </c>
      <c r="F26" s="2">
        <v>6</v>
      </c>
      <c r="G26" s="2">
        <v>0</v>
      </c>
      <c r="H26" s="2">
        <v>45000</v>
      </c>
      <c r="I26" s="2" t="s">
        <v>74</v>
      </c>
      <c r="J26" s="2">
        <v>4.9000000000000004</v>
      </c>
      <c r="K26" s="2" t="s">
        <v>5</v>
      </c>
      <c r="L26" t="b">
        <f t="shared" si="0"/>
        <v>1</v>
      </c>
      <c r="M26" t="b">
        <f t="shared" si="1"/>
        <v>1</v>
      </c>
      <c r="N26" t="b">
        <f t="shared" si="2"/>
        <v>0</v>
      </c>
      <c r="O26" t="b">
        <f t="shared" si="3"/>
        <v>0</v>
      </c>
      <c r="P26" t="b">
        <f t="shared" si="4"/>
        <v>1</v>
      </c>
      <c r="Q26" t="b">
        <f t="shared" si="5"/>
        <v>0</v>
      </c>
    </row>
    <row r="28" spans="1:17" x14ac:dyDescent="0.25">
      <c r="A28" s="1" t="s">
        <v>82</v>
      </c>
    </row>
    <row r="29" spans="1:17" x14ac:dyDescent="0.25">
      <c r="B29" t="s">
        <v>83</v>
      </c>
      <c r="C29">
        <f>COUNTA(A2:A26)</f>
        <v>25</v>
      </c>
    </row>
    <row r="30" spans="1:17" x14ac:dyDescent="0.25">
      <c r="B30" t="s">
        <v>84</v>
      </c>
      <c r="C30">
        <f>COUNTIF(Q2:Q26, TRUE)</f>
        <v>4</v>
      </c>
    </row>
    <row r="31" spans="1:17" x14ac:dyDescent="0.25">
      <c r="B31" t="s">
        <v>85</v>
      </c>
      <c r="C31">
        <f>COUNTIF(Q2:Q26, FALSE)</f>
        <v>21</v>
      </c>
    </row>
    <row r="32" spans="1:17" x14ac:dyDescent="0.25">
      <c r="B32" t="s">
        <v>86</v>
      </c>
      <c r="C32">
        <f>AVERAGE(H2:H26)</f>
        <v>53600</v>
      </c>
    </row>
    <row r="33" spans="2:3" x14ac:dyDescent="0.25">
      <c r="B33" t="s">
        <v>87</v>
      </c>
      <c r="C33">
        <f>AVERAGEIF(Q2:Q26, TRUE, H2:H26)</f>
        <v>50000</v>
      </c>
    </row>
    <row r="34" spans="2:3" x14ac:dyDescent="0.25">
      <c r="B34" t="s">
        <v>88</v>
      </c>
      <c r="C34">
        <f>AVERAGEIF(Q2:Q26, TRUE, J2:J26)</f>
        <v>3.5</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EE381-97BC-4563-B942-A9CE10438A10}">
  <dimension ref="A1:C7"/>
  <sheetViews>
    <sheetView workbookViewId="0">
      <selection activeCell="B2" sqref="B2:C3"/>
    </sheetView>
  </sheetViews>
  <sheetFormatPr defaultRowHeight="15" x14ac:dyDescent="0.25"/>
  <cols>
    <col min="1" max="1" width="17.85546875" bestFit="1" customWidth="1"/>
    <col min="2" max="2" width="37.140625" customWidth="1"/>
    <col min="3" max="3" width="18.42578125" customWidth="1"/>
  </cols>
  <sheetData>
    <row r="1" spans="1:3" x14ac:dyDescent="0.25">
      <c r="A1" s="1" t="s">
        <v>82</v>
      </c>
    </row>
    <row r="2" spans="1:3" x14ac:dyDescent="0.25">
      <c r="B2" t="s">
        <v>83</v>
      </c>
      <c r="C2">
        <v>25</v>
      </c>
    </row>
    <row r="3" spans="1:3" x14ac:dyDescent="0.25">
      <c r="B3" t="s">
        <v>84</v>
      </c>
      <c r="C3">
        <v>4</v>
      </c>
    </row>
    <row r="4" spans="1:3" x14ac:dyDescent="0.25">
      <c r="B4" t="s">
        <v>85</v>
      </c>
      <c r="C4">
        <v>21</v>
      </c>
    </row>
    <row r="5" spans="1:3" x14ac:dyDescent="0.25">
      <c r="B5" t="s">
        <v>86</v>
      </c>
      <c r="C5">
        <v>53600</v>
      </c>
    </row>
    <row r="6" spans="1:3" x14ac:dyDescent="0.25">
      <c r="B6" t="s">
        <v>87</v>
      </c>
      <c r="C6">
        <v>50000</v>
      </c>
    </row>
    <row r="7" spans="1:3" x14ac:dyDescent="0.25">
      <c r="B7" t="s">
        <v>88</v>
      </c>
      <c r="C7">
        <v>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1B847-4EAF-46DE-8E2B-BCA3B31AD9F0}">
  <dimension ref="A1:B3"/>
  <sheetViews>
    <sheetView workbookViewId="0">
      <selection activeCell="G21" sqref="G21"/>
    </sheetView>
  </sheetViews>
  <sheetFormatPr defaultRowHeight="15" x14ac:dyDescent="0.25"/>
  <cols>
    <col min="1" max="1" width="18.7109375" customWidth="1"/>
  </cols>
  <sheetData>
    <row r="1" spans="1:2" x14ac:dyDescent="0.25">
      <c r="A1" s="7" t="s">
        <v>91</v>
      </c>
      <c r="B1" s="7" t="s">
        <v>92</v>
      </c>
    </row>
    <row r="2" spans="1:2" x14ac:dyDescent="0.25">
      <c r="A2" t="s">
        <v>83</v>
      </c>
      <c r="B2">
        <v>25</v>
      </c>
    </row>
    <row r="3" spans="1:2" x14ac:dyDescent="0.25">
      <c r="A3" t="s">
        <v>84</v>
      </c>
      <c r="B3">
        <v>4</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9BBE0-31AA-41DD-8AA2-B98B34C92A9D}">
  <dimension ref="A1:I9"/>
  <sheetViews>
    <sheetView workbookViewId="0">
      <selection activeCell="J20" sqref="J20"/>
    </sheetView>
  </sheetViews>
  <sheetFormatPr defaultRowHeight="15" x14ac:dyDescent="0.25"/>
  <cols>
    <col min="1" max="1" width="21.140625" bestFit="1" customWidth="1"/>
    <col min="2" max="2" width="16.28515625" bestFit="1" customWidth="1"/>
    <col min="3" max="3" width="5.5703125" bestFit="1" customWidth="1"/>
    <col min="4" max="4" width="11.28515625" bestFit="1" customWidth="1"/>
  </cols>
  <sheetData>
    <row r="1" spans="1:9" x14ac:dyDescent="0.25">
      <c r="F1" s="11" t="s">
        <v>100</v>
      </c>
      <c r="G1" s="11"/>
      <c r="H1" s="11"/>
      <c r="I1" s="11"/>
    </row>
    <row r="3" spans="1:9" x14ac:dyDescent="0.25">
      <c r="A3" s="8" t="s">
        <v>95</v>
      </c>
      <c r="B3" s="8" t="s">
        <v>96</v>
      </c>
    </row>
    <row r="4" spans="1:9" x14ac:dyDescent="0.25">
      <c r="A4" s="8" t="s">
        <v>93</v>
      </c>
      <c r="B4" t="s">
        <v>89</v>
      </c>
      <c r="C4" t="s">
        <v>90</v>
      </c>
      <c r="D4" t="s">
        <v>94</v>
      </c>
    </row>
    <row r="5" spans="1:9" x14ac:dyDescent="0.25">
      <c r="A5" s="9" t="s">
        <v>10</v>
      </c>
      <c r="B5" s="10">
        <v>5</v>
      </c>
      <c r="C5" s="10">
        <v>2</v>
      </c>
      <c r="D5" s="10">
        <v>7</v>
      </c>
    </row>
    <row r="6" spans="1:9" x14ac:dyDescent="0.25">
      <c r="A6" s="9" t="s">
        <v>4</v>
      </c>
      <c r="B6" s="10">
        <v>6</v>
      </c>
      <c r="C6" s="10"/>
      <c r="D6" s="10">
        <v>6</v>
      </c>
    </row>
    <row r="7" spans="1:9" x14ac:dyDescent="0.25">
      <c r="A7" s="9" t="s">
        <v>27</v>
      </c>
      <c r="B7" s="10">
        <v>4</v>
      </c>
      <c r="C7" s="10">
        <v>1</v>
      </c>
      <c r="D7" s="10">
        <v>5</v>
      </c>
    </row>
    <row r="8" spans="1:9" x14ac:dyDescent="0.25">
      <c r="A8" s="9" t="s">
        <v>13</v>
      </c>
      <c r="B8" s="10">
        <v>6</v>
      </c>
      <c r="C8" s="10">
        <v>1</v>
      </c>
      <c r="D8" s="10">
        <v>7</v>
      </c>
    </row>
    <row r="9" spans="1:9" x14ac:dyDescent="0.25">
      <c r="A9" s="9" t="s">
        <v>94</v>
      </c>
      <c r="B9" s="10">
        <v>21</v>
      </c>
      <c r="C9" s="10">
        <v>4</v>
      </c>
      <c r="D9" s="10">
        <v>25</v>
      </c>
    </row>
  </sheetData>
  <mergeCells count="1">
    <mergeCell ref="F1:I1"/>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E78FD-CA9F-4738-9998-8E6C5FF81A21}">
  <dimension ref="A3:B6"/>
  <sheetViews>
    <sheetView workbookViewId="0">
      <selection activeCell="E21" sqref="E21"/>
    </sheetView>
  </sheetViews>
  <sheetFormatPr defaultRowHeight="15" x14ac:dyDescent="0.25"/>
  <cols>
    <col min="1" max="1" width="13.140625" bestFit="1" customWidth="1"/>
    <col min="2" max="2" width="28.85546875" bestFit="1" customWidth="1"/>
  </cols>
  <sheetData>
    <row r="3" spans="1:2" x14ac:dyDescent="0.25">
      <c r="A3" s="8" t="s">
        <v>93</v>
      </c>
      <c r="B3" t="s">
        <v>101</v>
      </c>
    </row>
    <row r="4" spans="1:2" x14ac:dyDescent="0.25">
      <c r="A4" s="9" t="s">
        <v>89</v>
      </c>
      <c r="B4" s="10">
        <v>54285.714285714283</v>
      </c>
    </row>
    <row r="5" spans="1:2" x14ac:dyDescent="0.25">
      <c r="A5" s="9" t="s">
        <v>90</v>
      </c>
      <c r="B5" s="10">
        <v>50000</v>
      </c>
    </row>
    <row r="6" spans="1:2" x14ac:dyDescent="0.25">
      <c r="A6" s="9" t="s">
        <v>94</v>
      </c>
      <c r="B6" s="10">
        <v>53600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360A0-2A94-4680-92A6-01D383D6EA67}">
  <dimension ref="A3:D29"/>
  <sheetViews>
    <sheetView tabSelected="1" workbookViewId="0">
      <selection activeCell="E8" sqref="E8"/>
    </sheetView>
  </sheetViews>
  <sheetFormatPr defaultRowHeight="15" x14ac:dyDescent="0.25"/>
  <cols>
    <col min="1" max="1" width="13.140625" bestFit="1" customWidth="1"/>
    <col min="2" max="2" width="29" bestFit="1" customWidth="1"/>
    <col min="3" max="3" width="30.42578125" bestFit="1" customWidth="1"/>
    <col min="4" max="5" width="32.140625" bestFit="1" customWidth="1"/>
    <col min="6" max="6" width="29" bestFit="1" customWidth="1"/>
    <col min="7" max="7" width="32.140625" bestFit="1" customWidth="1"/>
    <col min="8" max="8" width="29" bestFit="1" customWidth="1"/>
    <col min="9" max="9" width="32.140625" bestFit="1" customWidth="1"/>
    <col min="10" max="10" width="29" bestFit="1" customWidth="1"/>
    <col min="11" max="11" width="32.140625" bestFit="1" customWidth="1"/>
    <col min="12" max="12" width="29" bestFit="1" customWidth="1"/>
    <col min="13" max="13" width="32.140625" bestFit="1" customWidth="1"/>
    <col min="14" max="14" width="29" bestFit="1" customWidth="1"/>
    <col min="15" max="15" width="32.140625" bestFit="1" customWidth="1"/>
    <col min="16" max="16" width="29" bestFit="1" customWidth="1"/>
    <col min="17" max="17" width="32.140625" bestFit="1" customWidth="1"/>
    <col min="18" max="18" width="34.140625" bestFit="1" customWidth="1"/>
    <col min="19" max="19" width="37.140625" bestFit="1" customWidth="1"/>
    <col min="20" max="20" width="2" bestFit="1" customWidth="1"/>
    <col min="21" max="21" width="6.85546875" bestFit="1" customWidth="1"/>
    <col min="22" max="22" width="3.85546875" bestFit="1" customWidth="1"/>
    <col min="23" max="23" width="2" bestFit="1" customWidth="1"/>
    <col min="24" max="24" width="6.85546875" bestFit="1" customWidth="1"/>
    <col min="25" max="25" width="3.85546875" bestFit="1" customWidth="1"/>
    <col min="26" max="26" width="6.85546875" bestFit="1" customWidth="1"/>
    <col min="27" max="27" width="3.85546875" bestFit="1" customWidth="1"/>
    <col min="28" max="29" width="2" bestFit="1" customWidth="1"/>
    <col min="30" max="30" width="6.85546875" bestFit="1" customWidth="1"/>
    <col min="31" max="31" width="11.28515625" bestFit="1" customWidth="1"/>
    <col min="32" max="32" width="3.85546875" bestFit="1" customWidth="1"/>
    <col min="33" max="33" width="6.85546875" bestFit="1" customWidth="1"/>
    <col min="34" max="34" width="3.85546875" bestFit="1" customWidth="1"/>
    <col min="35" max="35" width="6.85546875" bestFit="1" customWidth="1"/>
    <col min="36" max="36" width="3.85546875" bestFit="1" customWidth="1"/>
    <col min="37" max="37" width="6.85546875" bestFit="1" customWidth="1"/>
    <col min="38" max="38" width="3.85546875" bestFit="1" customWidth="1"/>
    <col min="39" max="40" width="6.85546875" bestFit="1" customWidth="1"/>
    <col min="41" max="41" width="3.85546875" bestFit="1" customWidth="1"/>
    <col min="42" max="42" width="6.85546875" bestFit="1" customWidth="1"/>
    <col min="43" max="43" width="3.85546875" bestFit="1" customWidth="1"/>
    <col min="44" max="44" width="6.85546875" bestFit="1" customWidth="1"/>
    <col min="45" max="45" width="3.85546875" bestFit="1" customWidth="1"/>
    <col min="46" max="47" width="6.85546875" bestFit="1" customWidth="1"/>
    <col min="48" max="48" width="3.85546875" bestFit="1" customWidth="1"/>
    <col min="49" max="50" width="6.85546875" bestFit="1" customWidth="1"/>
    <col min="51" max="51" width="3.85546875" bestFit="1" customWidth="1"/>
    <col min="52" max="52" width="6.85546875" bestFit="1" customWidth="1"/>
    <col min="53" max="53" width="3.85546875" bestFit="1" customWidth="1"/>
    <col min="54" max="54" width="6.85546875" bestFit="1" customWidth="1"/>
    <col min="55" max="55" width="3.85546875" bestFit="1" customWidth="1"/>
    <col min="56" max="57" width="6.85546875" bestFit="1" customWidth="1"/>
    <col min="58" max="58" width="11.28515625" bestFit="1" customWidth="1"/>
  </cols>
  <sheetData>
    <row r="3" spans="1:4" x14ac:dyDescent="0.25">
      <c r="A3" s="8" t="s">
        <v>93</v>
      </c>
      <c r="B3" t="s">
        <v>98</v>
      </c>
      <c r="C3" t="s">
        <v>97</v>
      </c>
      <c r="D3" t="s">
        <v>99</v>
      </c>
    </row>
    <row r="4" spans="1:4" x14ac:dyDescent="0.25">
      <c r="A4" s="9" t="s">
        <v>40</v>
      </c>
      <c r="B4" s="10">
        <v>2</v>
      </c>
      <c r="C4" s="10">
        <v>7</v>
      </c>
      <c r="D4" s="10">
        <v>4</v>
      </c>
    </row>
    <row r="5" spans="1:4" x14ac:dyDescent="0.25">
      <c r="A5" s="9" t="s">
        <v>41</v>
      </c>
      <c r="B5" s="10">
        <v>6</v>
      </c>
      <c r="C5" s="10">
        <v>1</v>
      </c>
      <c r="D5" s="10">
        <v>5</v>
      </c>
    </row>
    <row r="6" spans="1:4" x14ac:dyDescent="0.25">
      <c r="A6" s="9" t="s">
        <v>42</v>
      </c>
      <c r="B6" s="10">
        <v>6</v>
      </c>
      <c r="C6" s="10">
        <v>4</v>
      </c>
      <c r="D6" s="10">
        <v>0</v>
      </c>
    </row>
    <row r="7" spans="1:4" x14ac:dyDescent="0.25">
      <c r="A7" s="9" t="s">
        <v>43</v>
      </c>
      <c r="B7" s="10">
        <v>5</v>
      </c>
      <c r="C7" s="10">
        <v>5</v>
      </c>
      <c r="D7" s="10">
        <v>7</v>
      </c>
    </row>
    <row r="8" spans="1:4" x14ac:dyDescent="0.25">
      <c r="A8" s="9" t="s">
        <v>44</v>
      </c>
      <c r="B8" s="10">
        <v>2</v>
      </c>
      <c r="C8" s="10">
        <v>5</v>
      </c>
      <c r="D8" s="10">
        <v>7</v>
      </c>
    </row>
    <row r="9" spans="1:4" x14ac:dyDescent="0.25">
      <c r="A9" s="9" t="s">
        <v>45</v>
      </c>
      <c r="B9" s="10">
        <v>0</v>
      </c>
      <c r="C9" s="10">
        <v>1</v>
      </c>
      <c r="D9" s="10">
        <v>5</v>
      </c>
    </row>
    <row r="10" spans="1:4" x14ac:dyDescent="0.25">
      <c r="A10" s="9" t="s">
        <v>46</v>
      </c>
      <c r="B10" s="10">
        <v>6</v>
      </c>
      <c r="C10" s="10">
        <v>4</v>
      </c>
      <c r="D10" s="10">
        <v>0</v>
      </c>
    </row>
    <row r="11" spans="1:4" x14ac:dyDescent="0.25">
      <c r="A11" s="9" t="s">
        <v>47</v>
      </c>
      <c r="B11" s="10">
        <v>4</v>
      </c>
      <c r="C11" s="10">
        <v>2</v>
      </c>
      <c r="D11" s="10">
        <v>6</v>
      </c>
    </row>
    <row r="12" spans="1:4" x14ac:dyDescent="0.25">
      <c r="A12" s="9" t="s">
        <v>48</v>
      </c>
      <c r="B12" s="10">
        <v>1</v>
      </c>
      <c r="C12" s="10">
        <v>7</v>
      </c>
      <c r="D12" s="10">
        <v>2</v>
      </c>
    </row>
    <row r="13" spans="1:4" x14ac:dyDescent="0.25">
      <c r="A13" s="9" t="s">
        <v>49</v>
      </c>
      <c r="B13" s="10">
        <v>0</v>
      </c>
      <c r="C13" s="10">
        <v>3</v>
      </c>
      <c r="D13" s="10">
        <v>3</v>
      </c>
    </row>
    <row r="14" spans="1:4" x14ac:dyDescent="0.25">
      <c r="A14" s="9" t="s">
        <v>50</v>
      </c>
      <c r="B14" s="10">
        <v>5</v>
      </c>
      <c r="C14" s="10">
        <v>4</v>
      </c>
      <c r="D14" s="10">
        <v>7</v>
      </c>
    </row>
    <row r="15" spans="1:4" x14ac:dyDescent="0.25">
      <c r="A15" s="9" t="s">
        <v>51</v>
      </c>
      <c r="B15" s="10">
        <v>4</v>
      </c>
      <c r="C15" s="10">
        <v>4</v>
      </c>
      <c r="D15" s="10">
        <v>7</v>
      </c>
    </row>
    <row r="16" spans="1:4" x14ac:dyDescent="0.25">
      <c r="A16" s="9" t="s">
        <v>52</v>
      </c>
      <c r="B16" s="10">
        <v>1</v>
      </c>
      <c r="C16" s="10">
        <v>4</v>
      </c>
      <c r="D16" s="10">
        <v>1</v>
      </c>
    </row>
    <row r="17" spans="1:4" x14ac:dyDescent="0.25">
      <c r="A17" s="9" t="s">
        <v>53</v>
      </c>
      <c r="B17" s="10">
        <v>4</v>
      </c>
      <c r="C17" s="10">
        <v>7</v>
      </c>
      <c r="D17" s="10">
        <v>7</v>
      </c>
    </row>
    <row r="18" spans="1:4" x14ac:dyDescent="0.25">
      <c r="A18" s="9" t="s">
        <v>54</v>
      </c>
      <c r="B18" s="10">
        <v>7</v>
      </c>
      <c r="C18" s="10">
        <v>0</v>
      </c>
      <c r="D18" s="10">
        <v>5</v>
      </c>
    </row>
    <row r="19" spans="1:4" x14ac:dyDescent="0.25">
      <c r="A19" s="9" t="s">
        <v>55</v>
      </c>
      <c r="B19" s="10">
        <v>0</v>
      </c>
      <c r="C19" s="10">
        <v>5</v>
      </c>
      <c r="D19" s="10">
        <v>4</v>
      </c>
    </row>
    <row r="20" spans="1:4" x14ac:dyDescent="0.25">
      <c r="A20" s="9" t="s">
        <v>56</v>
      </c>
      <c r="B20" s="10">
        <v>4</v>
      </c>
      <c r="C20" s="10">
        <v>3</v>
      </c>
      <c r="D20" s="10">
        <v>5</v>
      </c>
    </row>
    <row r="21" spans="1:4" x14ac:dyDescent="0.25">
      <c r="A21" s="9" t="s">
        <v>57</v>
      </c>
      <c r="B21" s="10">
        <v>4</v>
      </c>
      <c r="C21" s="10">
        <v>1</v>
      </c>
      <c r="D21" s="10">
        <v>1</v>
      </c>
    </row>
    <row r="22" spans="1:4" x14ac:dyDescent="0.25">
      <c r="A22" s="9" t="s">
        <v>58</v>
      </c>
      <c r="B22" s="10">
        <v>3</v>
      </c>
      <c r="C22" s="10">
        <v>4</v>
      </c>
      <c r="D22" s="10">
        <v>2</v>
      </c>
    </row>
    <row r="23" spans="1:4" x14ac:dyDescent="0.25">
      <c r="A23" s="9" t="s">
        <v>59</v>
      </c>
      <c r="B23" s="10">
        <v>7</v>
      </c>
      <c r="C23" s="10">
        <v>6</v>
      </c>
      <c r="D23" s="10">
        <v>6</v>
      </c>
    </row>
    <row r="24" spans="1:4" x14ac:dyDescent="0.25">
      <c r="A24" s="9" t="s">
        <v>60</v>
      </c>
      <c r="B24" s="10">
        <v>1</v>
      </c>
      <c r="C24" s="10">
        <v>1</v>
      </c>
      <c r="D24" s="10">
        <v>0</v>
      </c>
    </row>
    <row r="25" spans="1:4" x14ac:dyDescent="0.25">
      <c r="A25" s="9" t="s">
        <v>61</v>
      </c>
      <c r="B25" s="10">
        <v>2</v>
      </c>
      <c r="C25" s="10">
        <v>3</v>
      </c>
      <c r="D25" s="10">
        <v>2</v>
      </c>
    </row>
    <row r="26" spans="1:4" x14ac:dyDescent="0.25">
      <c r="A26" s="9" t="s">
        <v>62</v>
      </c>
      <c r="B26" s="10">
        <v>7</v>
      </c>
      <c r="C26" s="10">
        <v>1</v>
      </c>
      <c r="D26" s="10">
        <v>6</v>
      </c>
    </row>
    <row r="27" spans="1:4" x14ac:dyDescent="0.25">
      <c r="A27" s="9" t="s">
        <v>63</v>
      </c>
      <c r="B27" s="10">
        <v>7</v>
      </c>
      <c r="C27" s="10">
        <v>2</v>
      </c>
      <c r="D27" s="10">
        <v>5</v>
      </c>
    </row>
    <row r="28" spans="1:4" x14ac:dyDescent="0.25">
      <c r="A28" s="9" t="s">
        <v>64</v>
      </c>
      <c r="B28" s="10">
        <v>6</v>
      </c>
      <c r="C28" s="10">
        <v>3</v>
      </c>
      <c r="D28" s="10">
        <v>0</v>
      </c>
    </row>
    <row r="29" spans="1:4" x14ac:dyDescent="0.25">
      <c r="A29" s="9" t="s">
        <v>94</v>
      </c>
      <c r="B29" s="10">
        <v>94</v>
      </c>
      <c r="C29" s="10">
        <v>87</v>
      </c>
      <c r="D29" s="10">
        <v>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updated_25_candidates_dataset</vt:lpstr>
      <vt:lpstr>Summary_Analysis</vt:lpstr>
      <vt:lpstr>Shortlisted vs Not_Shortlisted</vt:lpstr>
      <vt:lpstr>Applied_Role_VS_Final_Shortlist</vt:lpstr>
      <vt:lpstr>Avg_Salary_vs_Shortlist</vt:lpstr>
      <vt:lpstr>Sheet8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PCR</dc:creator>
  <cp:lastModifiedBy>PCR</cp:lastModifiedBy>
  <dcterms:created xsi:type="dcterms:W3CDTF">2015-06-05T18:17:20Z</dcterms:created>
  <dcterms:modified xsi:type="dcterms:W3CDTF">2025-12-03T18:40:01Z</dcterms:modified>
</cp:coreProperties>
</file>